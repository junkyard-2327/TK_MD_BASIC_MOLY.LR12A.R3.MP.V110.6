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62_LTE_MT6177M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<sst xmlns="http://schemas.openxmlformats.org/spreadsheetml/2006/main" count="4799" uniqueCount="1530">
  <si>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</si>
  <si>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</si>
  <si>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</si>
  <si>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</si>
  <si>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</si>
  <si>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</si>
  <si>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</si>
  <si>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</si>
  <si>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</si>
  <si>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</si>
  <si>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</si>
  <si>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</si>
  <si>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</si>
  <si>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</si>
  <si>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</si>
  <si>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</si>
  <si>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</si>
  <si>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</si>
  <si>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</si>
  <si>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</si>
  <si>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</si>
  <si>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</si>
  <si>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</si>
  <si>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</si>
  <si>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</si>
  <si>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</si>
  <si>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</si>
  <si>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</si>
  <si>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</si>
  <si>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</si>
  <si>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</si>
  <si>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</si>
  <si>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</si>
  <si>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</si>
  <si>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</si>
  <si>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</si>
  <si>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</si>
  <si>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</si>
  <si>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</si>
  <si>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</si>
  <si>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</si>
  <si>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</si>
  <si>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</si>
  <si>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</si>
  <si>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</si>
  <si>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</si>
  <si>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</si>
  <si>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</si>
  <si>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</si>
  <si>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</si>
  <si>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</si>
  <si>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</si>
  <si>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</si>
  <si>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</si>
  <si>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</si>
  <si>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</si>
  <si>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</si>
  <si>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</si>
  <si>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</si>
  <si>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</si>
  <si>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</si>
  <si>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</si>
  <si>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</si>
  <si>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</si>
  <si>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</si>
  <si>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</si>
  <si>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</si>
  <si>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</si>
  <si>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</si>
  <si>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</si>
  <si>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</si>
  <si>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</si>
  <si>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</si>
  <si>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</si>
  <si>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</si>
  <si>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</si>
  <si>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</si>
  <si>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</si>
  <si>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</si>
  <si>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</si>
  <si>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</si>
  <si>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</si>
  <si>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</si>
  <si>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</si>
  <si>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</si>
  <si>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</si>
  <si>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</si>
  <si>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</si>
  <si>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</si>
  <si>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</si>
  <si>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</si>
  <si>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</si>
  <si>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</si>
  <si>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</si>
  <si>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</si>
  <si>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</si>
  <si>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</si>
  <si>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</si>
  <si>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</si>
  <si>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</si>
  <si>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</si>
  <si>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</si>
  <si>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</si>
  <si>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</si>
  <si>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</si>
  <si>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</si>
  <si>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</si>
  <si>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</si>
  <si>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</si>
  <si>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</si>
  <si>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</si>
  <si>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</si>
  <si>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</si>
  <si>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</si>
  <si>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</si>
  <si>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</si>
  <si>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</si>
  <si>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</si>
  <si>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</si>
  <si>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</si>
  <si>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</si>
  <si>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</si>
  <si>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</si>
  <si>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</si>
  <si>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</si>
  <si>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</si>
  <si>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</si>
  <si>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</si>
  <si>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</si>
  <si>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</si>
  <si>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</si>
  <si>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</si>
  <si>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</si>
  <si>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</si>
  <si>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</si>
  <si>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</si>
  <si>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</si>
  <si>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</si>
  <si>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</si>
  <si>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</si>
  <si>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</si>
  <si>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</si>
  <si>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</si>
  <si>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</si>
  <si>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</si>
  <si>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</si>
  <si>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</si>
  <si>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</si>
  <si>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</si>
  <si>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</si>
  <si>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</si>
  <si>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</si>
  <si>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</si>
  <si>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</si>
  <si>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</si>
  <si>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</si>
  <si>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</si>
  <si>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</si>
  <si>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</si>
  <si>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</si>
  <si>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</si>
  <si>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</si>
  <si>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</si>
  <si>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</si>
  <si>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</si>
  <si>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</si>
  <si>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</si>
  <si>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</si>
  <si>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</si>
  <si>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4" type="noConversion"/>
  </si>
  <si>
    <t>DL_CC0_FE_Route</t>
    <phoneticPr fontId="14" type="noConversion"/>
  </si>
  <si>
    <t>DL_CC1_FE_Route</t>
    <phoneticPr fontId="14" type="noConversion"/>
  </si>
  <si>
    <t>DL_CC2_FE_Route</t>
    <phoneticPr fontId="14" type="noConversion"/>
  </si>
  <si>
    <t>UL_CC0</t>
    <phoneticPr fontId="14" type="noConversion"/>
  </si>
  <si>
    <t>UL_CC0_FE_Route</t>
    <phoneticPr fontId="14" type="noConversion"/>
  </si>
  <si>
    <t>UL_CC1</t>
    <phoneticPr fontId="14" type="noConversion"/>
  </si>
  <si>
    <t>UL_CC1_FE_Route</t>
    <phoneticPr fontId="14" type="noConversion"/>
  </si>
  <si>
    <t>Enable/Disable</t>
    <phoneticPr fontId="14" type="noConversion"/>
  </si>
  <si>
    <t>TRUE/FALSE</t>
    <phoneticPr fontId="14" type="noConversion"/>
  </si>
  <si>
    <t>Enable</t>
    <phoneticPr fontId="14" type="noConversion"/>
  </si>
  <si>
    <t>Disable</t>
    <phoneticPr fontId="14" type="noConversion"/>
  </si>
  <si>
    <t>LTE_Band</t>
    <phoneticPr fontId="14" type="noConversion"/>
  </si>
  <si>
    <t>RX_IO_SEL</t>
    <phoneticPr fontId="14" type="noConversion"/>
  </si>
  <si>
    <t>RXD_IO_SEL</t>
    <phoneticPr fontId="14" type="noConversion"/>
  </si>
  <si>
    <t>TX_CCA_BAND_support</t>
    <phoneticPr fontId="14" type="noConversion"/>
  </si>
  <si>
    <t>TX_IO_SEL</t>
    <phoneticPr fontId="14" type="noConversion"/>
  </si>
  <si>
    <t>VM_0</t>
    <phoneticPr fontId="14" type="noConversion"/>
  </si>
  <si>
    <t>VM_1</t>
    <phoneticPr fontId="14" type="noConversion"/>
  </si>
  <si>
    <t>PDATA_PR1</t>
    <phoneticPr fontId="14" type="noConversion"/>
  </si>
  <si>
    <t>PDATA_PR2</t>
    <phoneticPr fontId="14" type="noConversion"/>
  </si>
  <si>
    <t>PDATA_PT1</t>
    <phoneticPr fontId="14" type="noConversion"/>
  </si>
  <si>
    <t>PDATA_PT2</t>
    <phoneticPr fontId="14" type="noConversion"/>
  </si>
  <si>
    <t>DRDI_Set</t>
    <phoneticPr fontId="14" type="noConversion"/>
  </si>
  <si>
    <t>BAND_SPLIT_NUM</t>
    <phoneticPr fontId="14" type="noConversion"/>
  </si>
  <si>
    <t>Downlink</t>
    <phoneticPr fontId="13" type="noConversion"/>
  </si>
  <si>
    <t>Uplink</t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</si>
  <si>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</si>
  <si>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</si>
  <si>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</si>
  <si>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</si>
  <si>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</si>
  <si>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</si>
  <si>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</si>
  <si>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t>SKU</t>
    <phoneticPr fontId="14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</si>
  <si>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</si>
  <si>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</si>
  <si>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</si>
  <si>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</si>
  <si>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</si>
  <si>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</si>
  <si>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4" type="noConversion"/>
  </si>
  <si>
    <t>Calibration</t>
    <phoneticPr fontId="14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</si>
  <si>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</si>
  <si>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</si>
  <si>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</si>
  <si>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</si>
  <si>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</si>
  <si>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</si>
  <si>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</si>
  <si>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</si>
  <si>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</si>
  <si>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</si>
  <si>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</si>
  <si>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</si>
  <si>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</si>
  <si>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</si>
  <si>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</si>
  <si>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</si>
  <si>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</si>
  <si>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</si>
  <si>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</si>
  <si>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</si>
  <si>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</si>
  <si>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</si>
  <si>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</si>
  <si>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</si>
  <si>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</si>
  <si>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</si>
  <si>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</si>
  <si>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</si>
  <si>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</si>
  <si>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</si>
  <si>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</si>
  <si>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</si>
  <si>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</si>
  <si>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</si>
  <si>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</si>
  <si>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</si>
  <si>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</si>
  <si>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</si>
  <si>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</si>
  <si>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</si>
  <si>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</si>
  <si>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</si>
  <si>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</si>
  <si>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</si>
  <si>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</si>
  <si>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</si>
  <si>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</si>
  <si>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</si>
  <si>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</si>
  <si>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</si>
  <si>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</si>
  <si>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</si>
  <si>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</si>
  <si>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</si>
  <si>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</si>
  <si>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</si>
  <si>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</si>
  <si>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</si>
  <si>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</si>
  <si>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</si>
  <si>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</si>
  <si>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</si>
  <si>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</si>
  <si>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</si>
  <si>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</si>
  <si>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</si>
  <si>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</si>
  <si>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</si>
  <si>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</si>
  <si>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</si>
  <si>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</si>
  <si>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</si>
  <si>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</si>
  <si>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</si>
  <si>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</si>
  <si>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</si>
  <si>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</si>
  <si>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</si>
  <si>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</si>
  <si>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</si>
  <si>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</si>
  <si>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</si>
  <si>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</si>
  <si>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</si>
  <si>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</si>
  <si>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</si>
  <si>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</si>
  <si>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</si>
  <si>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</si>
  <si>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</si>
  <si>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</si>
  <si>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</si>
  <si>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</si>
  <si>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</si>
  <si>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</si>
  <si>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</si>
  <si>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</si>
  <si>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</si>
  <si>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</si>
  <si>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</si>
  <si>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</si>
  <si>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</si>
  <si>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</si>
  <si>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</si>
  <si>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</si>
  <si>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</si>
  <si>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</si>
  <si>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</si>
  <si>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</si>
  <si>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</si>
  <si>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</si>
  <si>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</si>
  <si>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</si>
  <si>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</si>
  <si>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</si>
  <si>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</si>
  <si>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</si>
  <si>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</si>
  <si>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</si>
  <si>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</si>
  <si>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</si>
  <si>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</si>
  <si>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</si>
  <si>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</si>
  <si>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</si>
  <si>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</si>
  <si>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</si>
  <si>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</si>
  <si>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</si>
  <si>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</si>
  <si>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</si>
  <si>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</si>
  <si>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</si>
  <si>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</si>
  <si>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</si>
  <si>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</si>
  <si>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</si>
  <si>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</si>
  <si>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</si>
  <si>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</si>
  <si>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</si>
  <si>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</si>
  <si>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</si>
  <si>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</si>
  <si>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</si>
  <si>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</si>
  <si>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</si>
  <si>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</si>
  <si>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</si>
  <si>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</si>
  <si>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</si>
  <si>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</si>
  <si>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</si>
  <si>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</si>
  <si>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</si>
  <si>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</si>
  <si>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</si>
  <si>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</si>
  <si>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</si>
  <si>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</si>
  <si>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</si>
  <si>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</si>
  <si>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</si>
  <si>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</si>
  <si>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</si>
  <si>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</si>
  <si>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</si>
  <si>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</si>
  <si>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</si>
  <si>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</si>
  <si>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</si>
  <si>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</si>
  <si>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</si>
  <si>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</si>
  <si>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</si>
  <si>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</si>
  <si>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</si>
  <si>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</si>
  <si>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</si>
  <si>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</si>
  <si>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</si>
  <si>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</si>
  <si>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</si>
  <si>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</si>
  <si>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</si>
  <si>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</si>
  <si>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</si>
  <si>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</si>
  <si>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</si>
  <si>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</si>
  <si>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</si>
  <si>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</si>
  <si>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</si>
  <si>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</si>
  <si>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</si>
  <si>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</si>
  <si>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</si>
  <si>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</si>
  <si>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</si>
  <si>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</si>
  <si>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</si>
  <si>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</si>
  <si>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</si>
  <si>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</si>
  <si>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</si>
  <si>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</si>
  <si>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</si>
  <si>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</si>
  <si>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</si>
  <si>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</si>
  <si>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</si>
  <si>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</si>
  <si>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</si>
  <si>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</si>
  <si>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</si>
  <si>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</si>
  <si>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</si>
  <si>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</si>
  <si>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</si>
  <si>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</si>
  <si>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</si>
  <si>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</si>
  <si>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</si>
  <si>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</si>
  <si>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</si>
  <si>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</si>
  <si>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</si>
  <si>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</si>
  <si>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</si>
  <si>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</si>
  <si>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</si>
  <si>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</si>
  <si>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</si>
  <si>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</si>
  <si>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</si>
  <si>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</si>
  <si>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</si>
  <si>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</si>
  <si>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</si>
  <si>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</si>
  <si>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</si>
  <si>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</si>
  <si>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</si>
  <si>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</si>
  <si>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</si>
  <si>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</si>
  <si>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</si>
  <si>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</si>
  <si>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</si>
  <si>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</si>
  <si>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</si>
  <si>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</si>
  <si>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</si>
  <si>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</si>
  <si>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</si>
  <si>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</si>
  <si>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</si>
  <si>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</si>
  <si>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</si>
  <si>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</si>
  <si>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</si>
  <si>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</si>
  <si>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</si>
  <si>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</si>
  <si>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</si>
  <si>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</si>
  <si>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</si>
  <si>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</si>
  <si>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</si>
  <si>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</si>
  <si>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</si>
  <si>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</si>
  <si>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</si>
  <si>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</si>
  <si>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</si>
  <si>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</si>
  <si>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</si>
  <si>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</si>
  <si>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</si>
  <si>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</si>
  <si>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</si>
  <si>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</si>
  <si>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</si>
  <si>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</si>
  <si>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</si>
  <si>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</si>
  <si>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</si>
  <si>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</si>
  <si>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</si>
  <si>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</si>
  <si>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</si>
  <si>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</si>
  <si>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</si>
  <si>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</si>
  <si>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</si>
  <si>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</si>
  <si>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</si>
  <si>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</si>
  <si>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</si>
  <si>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</si>
  <si>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</si>
  <si>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</si>
  <si>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</si>
  <si>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</si>
  <si>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</si>
  <si>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</si>
  <si>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</si>
  <si>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</si>
  <si>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</si>
  <si>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</si>
  <si>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</si>
  <si>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</si>
  <si>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</si>
  <si>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</si>
  <si>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</si>
  <si>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</si>
  <si>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</si>
  <si>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</si>
  <si>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</si>
  <si>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</si>
  <si>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</si>
  <si>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</si>
  <si>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</si>
  <si>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</si>
  <si>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</si>
  <si>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</si>
  <si>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</si>
  <si>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</si>
  <si>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</si>
  <si>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</si>
  <si>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</si>
  <si>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</si>
  <si>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</si>
  <si>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</si>
  <si>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</si>
  <si>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</si>
  <si>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</si>
  <si>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</si>
  <si>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</si>
  <si>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</si>
  <si>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</si>
  <si>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</si>
  <si>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</si>
  <si>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</si>
  <si>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</si>
  <si>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</si>
  <si>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</si>
  <si>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</si>
  <si>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</si>
  <si>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</si>
  <si>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</si>
  <si>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</si>
  <si>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</si>
  <si>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</si>
  <si>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</si>
  <si>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</si>
  <si>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</si>
  <si>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</si>
  <si>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</si>
  <si>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</si>
  <si>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</si>
  <si>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</si>
  <si>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</si>
  <si>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</si>
  <si>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</si>
  <si>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</si>
  <si>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</si>
  <si>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</si>
  <si>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</si>
  <si>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</si>
  <si>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</si>
  <si>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</si>
  <si>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</si>
  <si>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</si>
  <si>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</si>
  <si>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</si>
  <si>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</si>
  <si>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</si>
  <si>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</si>
  <si>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</si>
  <si>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</si>
  <si>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</si>
  <si>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</si>
  <si>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</si>
  <si>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</si>
  <si>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</si>
  <si>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</si>
  <si>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</si>
  <si>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</si>
  <si>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</si>
  <si>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</si>
  <si>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</si>
  <si>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</si>
  <si>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</si>
  <si>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</si>
  <si>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</si>
  <si>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</si>
  <si>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</si>
  <si>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</si>
  <si>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</si>
  <si>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</si>
  <si>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</si>
  <si>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</si>
  <si>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</si>
  <si>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</si>
  <si>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</si>
  <si>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</si>
  <si>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</si>
  <si>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</si>
  <si>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</si>
  <si>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</si>
  <si>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</si>
  <si>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</si>
  <si>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</si>
  <si>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</si>
  <si>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</si>
  <si>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</si>
  <si>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</si>
  <si>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</si>
  <si>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</si>
  <si>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</si>
  <si>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</si>
  <si>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</si>
  <si>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</si>
  <si>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</si>
  <si>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</si>
  <si>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</si>
  <si>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</si>
  <si>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</si>
  <si>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</si>
  <si>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</si>
  <si>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</si>
  <si>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</si>
  <si>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</si>
  <si>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</si>
  <si>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</si>
  <si>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</si>
  <si>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</si>
  <si>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</si>
  <si>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</si>
  <si>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</si>
  <si>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</si>
  <si>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</si>
  <si>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</si>
  <si>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</si>
  <si>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</si>
  <si>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</si>
  <si>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</si>
  <si>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</si>
  <si>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</si>
  <si>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</si>
  <si>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</si>
  <si>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</si>
  <si>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</si>
  <si>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</si>
  <si>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</si>
  <si>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</si>
  <si>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</si>
  <si>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</si>
  <si>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</si>
  <si>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</si>
  <si>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</si>
  <si>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</si>
  <si>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</si>
  <si>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</si>
  <si>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</si>
  <si>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</si>
  <si>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</si>
  <si>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</si>
  <si>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</si>
  <si>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</si>
  <si>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</si>
  <si>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</si>
  <si>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</si>
  <si>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</si>
  <si>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</si>
  <si>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</si>
  <si>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</si>
  <si>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</si>
  <si>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</si>
  <si>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</si>
  <si>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</si>
  <si>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</si>
  <si>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</si>
  <si>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</si>
  <si>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</si>
  <si>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</si>
  <si>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</si>
  <si>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</si>
  <si>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</si>
  <si>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</si>
  <si>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</si>
  <si>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</si>
  <si>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</si>
  <si>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</si>
  <si>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</si>
  <si>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</si>
  <si>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</si>
  <si>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</si>
  <si>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</si>
  <si>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</si>
  <si>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</si>
  <si>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</si>
  <si>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</si>
  <si>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</si>
  <si>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</si>
  <si>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</si>
  <si>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</si>
  <si>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</si>
  <si>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</si>
  <si>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</si>
  <si>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</si>
  <si>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</si>
  <si>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</si>
  <si>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</si>
  <si>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</si>
  <si>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</si>
  <si>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</si>
  <si>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</si>
  <si>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</si>
  <si>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</si>
  <si>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</si>
  <si>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</si>
  <si>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</si>
  <si>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</si>
  <si>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</si>
  <si>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</si>
  <si>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</si>
  <si>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</si>
  <si>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</si>
  <si>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</si>
  <si>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</si>
  <si>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</si>
  <si>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</si>
  <si>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</si>
  <si>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</si>
  <si>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</si>
  <si>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</si>
  <si>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</si>
  <si>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</si>
  <si>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</si>
  <si>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</si>
  <si>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</si>
  <si>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</si>
  <si>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</si>
  <si>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</si>
  <si>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</si>
  <si>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</si>
  <si>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</si>
  <si>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</si>
  <si>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</si>
  <si>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</si>
  <si>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</si>
  <si>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</si>
  <si>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</si>
  <si>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</si>
  <si>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</si>
  <si>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</si>
  <si>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</si>
  <si>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</si>
  <si>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</si>
  <si>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</si>
  <si>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</si>
  <si>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</si>
  <si>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</si>
  <si>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</si>
  <si>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</si>
  <si>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</si>
  <si>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</si>
  <si>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</si>
  <si>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</si>
  <si>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</si>
  <si>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</si>
  <si>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</si>
  <si>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</si>
  <si>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</si>
  <si>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</si>
  <si>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</si>
  <si>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</si>
  <si>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</si>
  <si>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</si>
  <si>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</si>
  <si>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</si>
  <si>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</si>
  <si>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</si>
  <si>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</si>
  <si>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</si>
  <si>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</si>
  <si>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</si>
  <si>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</si>
  <si>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</si>
  <si>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</si>
  <si>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</si>
  <si>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</si>
  <si>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</si>
  <si>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</si>
  <si>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</si>
  <si>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</si>
  <si>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</si>
  <si>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</si>
  <si>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</si>
  <si>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</si>
  <si>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</si>
  <si>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</si>
  <si>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</si>
  <si>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</si>
  <si>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</si>
  <si>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</si>
  <si>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</si>
  <si>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</si>
  <si>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</si>
  <si>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</si>
  <si>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</si>
  <si>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</si>
  <si>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</si>
  <si>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</si>
  <si>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</si>
  <si>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</si>
  <si>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</si>
  <si>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</si>
  <si>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</si>
  <si>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</si>
  <si>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</si>
  <si>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</si>
  <si>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</si>
  <si>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</si>
  <si>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</si>
  <si>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</si>
  <si>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</si>
  <si>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</si>
  <si>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</si>
  <si>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</si>
  <si>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</si>
  <si>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</si>
  <si>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</si>
  <si>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</si>
  <si>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</si>
  <si>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</si>
  <si>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</si>
  <si>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</si>
  <si>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</si>
  <si>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</si>
  <si>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</si>
  <si>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</si>
  <si>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</si>
  <si>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</si>
  <si>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</si>
  <si>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</si>
  <si>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</si>
  <si>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</si>
  <si>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</si>
  <si>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</si>
  <si>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</si>
  <si>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</si>
  <si>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</si>
  <si>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</si>
  <si>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3" type="noConversion"/>
  </si>
  <si>
    <t>LTE_TAS_FE_NULL</t>
    <phoneticPr fontId="13" type="noConversion"/>
  </si>
  <si>
    <t>UL_CC0_TAS_FE_ROUTE</t>
    <phoneticPr fontId="13" type="noConversion"/>
  </si>
  <si>
    <t>DL_CC0_TAS_FE_ROUTE</t>
    <phoneticPr fontId="13" type="noConversion"/>
  </si>
  <si>
    <t>UL_CC0_Route</t>
    <phoneticPr fontId="13" type="noConversion"/>
  </si>
  <si>
    <t>DL_CC0_Route</t>
    <phoneticPr fontId="13" type="noConversion"/>
  </si>
  <si>
    <t>DL_CC1_Route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</si>
  <si>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</si>
  <si>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</si>
  <si>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</si>
  <si>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</si>
  <si>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</si>
  <si>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</si>
  <si>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</si>
  <si>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</si>
  <si>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</si>
  <si>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</si>
  <si>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</si>
  <si>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</si>
  <si>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</si>
  <si>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</si>
  <si>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</si>
  <si>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</si>
  <si>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</si>
  <si>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</si>
  <si>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</si>
  <si>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</si>
  <si>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</si>
  <si>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</si>
  <si>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</si>
  <si>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</si>
  <si>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</si>
  <si>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</si>
  <si>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</si>
  <si>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</si>
  <si>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</si>
  <si>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</si>
  <si>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</si>
  <si>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</si>
  <si>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</si>
  <si>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</si>
  <si>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</si>
  <si>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</si>
  <si>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</si>
  <si>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</si>
  <si>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</si>
  <si>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</si>
  <si>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</si>
  <si>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</si>
  <si>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</si>
  <si>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</si>
  <si>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</si>
  <si>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</si>
  <si>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</si>
  <si>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</si>
  <si>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</si>
  <si>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</si>
  <si>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</si>
  <si>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</si>
  <si>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</si>
  <si>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</si>
  <si>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</si>
  <si>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</si>
  <si>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</si>
  <si>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</si>
  <si>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</si>
  <si>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</si>
  <si>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</si>
  <si>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</si>
  <si>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</si>
  <si>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</si>
  <si>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</si>
  <si>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3" type="noConversion"/>
  </si>
  <si>
    <t>PDATA_LTE_BandNone_1_PFREQ</t>
    <phoneticPr fontId="13" type="noConversion"/>
  </si>
  <si>
    <t>0</t>
    <phoneticPr fontId="13" type="noConversion"/>
  </si>
  <si>
    <t>PDATA_LTE_BandNone_1_PRANT</t>
    <phoneticPr fontId="13" type="noConversion"/>
  </si>
  <si>
    <t>PDATA_LTE_BandNone_1_PTANT</t>
    <phoneticPr fontId="13" type="noConversion"/>
  </si>
  <si>
    <t>PDATA_LTE_BandNone_2_PFREQ</t>
    <phoneticPr fontId="13" type="noConversion"/>
  </si>
  <si>
    <t>PDATA_LTE_BandNone_2_PRANT</t>
    <phoneticPr fontId="13" type="noConversion"/>
  </si>
  <si>
    <t>PDATA_LTE_BandNone_2_PTANT</t>
    <phoneticPr fontId="13" type="noConversion"/>
  </si>
  <si>
    <t>PDATA_LTE_BandNone_3_PFREQ</t>
    <phoneticPr fontId="13" type="noConversion"/>
  </si>
  <si>
    <t>PDATA_LTE_BandNone_3_PRANT</t>
    <phoneticPr fontId="13" type="noConversion"/>
  </si>
  <si>
    <t>PDATA_LTE_BandNone_3_PTANT</t>
    <phoneticPr fontId="13" type="noConversion"/>
  </si>
  <si>
    <t>PDATA_LTE_BandNone_4_PFREQ</t>
    <phoneticPr fontId="13" type="noConversion"/>
  </si>
  <si>
    <t>PDATA_LTE_BandNone_4_PRANT</t>
    <phoneticPr fontId="13" type="noConversion"/>
  </si>
  <si>
    <t>PDATA_LTE_BandNone_4_PTANT</t>
    <phoneticPr fontId="13" type="noConversion"/>
  </si>
  <si>
    <t>PDATA_LTE_BandNone_5_PFREQ</t>
    <phoneticPr fontId="13" type="noConversion"/>
  </si>
  <si>
    <t>PDATA_LTE_BandNone_5_PRANT</t>
    <phoneticPr fontId="13" type="noConversion"/>
  </si>
  <si>
    <t>PDATA_LTE_BandNone_5_PTANT</t>
    <phoneticPr fontId="13" type="noConversion"/>
  </si>
  <si>
    <t>ANT ROUTE SETTING</t>
    <phoneticPr fontId="14" type="noConversion"/>
  </si>
  <si>
    <t>TAS ROUTE SETTING</t>
    <phoneticPr fontId="14" type="noConversion"/>
  </si>
  <si>
    <t>ANT ROUTE SETTING</t>
    <phoneticPr fontId="14" type="noConversion"/>
  </si>
  <si>
    <t>TAS ROUTE SETTING</t>
    <phoneticPr fontId="14" type="noConversion"/>
  </si>
  <si>
    <t>MISC</t>
    <phoneticPr fontId="13" type="noConversion"/>
  </si>
  <si>
    <t>Partial Band setting</t>
  </si>
  <si>
    <t>Band_Partial_Indicator_ID</t>
  </si>
  <si>
    <t>(LTE_BAND)</t>
    <phoneticPr fontId="13" type="noConversion"/>
  </si>
  <si>
    <t>START(frequency range start, 100KHz)</t>
    <phoneticPr fontId="13" type="noConversion"/>
  </si>
  <si>
    <t>END(frequency range end, 100KHz)</t>
    <phoneticPr fontId="13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</si>
  <si>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</si>
  <si>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</si>
  <si>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</si>
  <si>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</si>
  <si>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</si>
  <si>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</si>
  <si>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</si>
  <si>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</si>
  <si>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</si>
  <si>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</si>
  <si>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</si>
  <si>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</si>
  <si>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</si>
  <si>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</si>
  <si>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</si>
  <si>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</si>
  <si>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</si>
  <si>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</si>
  <si>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</si>
  <si>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</si>
  <si>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</si>
  <si>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</si>
  <si>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</si>
  <si>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</si>
  <si>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</si>
  <si>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</si>
  <si>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</si>
  <si>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</si>
  <si>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</si>
  <si>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</si>
  <si>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</si>
  <si>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</si>
  <si>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</si>
  <si>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</si>
  <si>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</si>
  <si>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</si>
  <si>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</si>
  <si>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</si>
  <si>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</si>
  <si>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</si>
  <si>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</si>
  <si>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</si>
  <si>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</si>
  <si>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</si>
  <si>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</si>
  <si>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</si>
  <si>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</si>
  <si>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3" type="noConversion"/>
  </si>
  <si>
    <t>Band HPUE setting</t>
  </si>
  <si>
    <t>Band_HPUE_INDICATOR0_Indicator_ID</t>
  </si>
  <si>
    <t>BAND_HPUE_INDICATOR0</t>
    <phoneticPr fontId="13" type="noConversion"/>
  </si>
  <si>
    <t>BAND_HPUE_INDICATOR1</t>
    <phoneticPr fontId="13" type="noConversion"/>
  </si>
  <si>
    <t>BAND_HPUE_INDICATOR2</t>
    <phoneticPr fontId="13" type="noConversion"/>
  </si>
  <si>
    <t>BAND_HPUE_INDICATOR3</t>
    <phoneticPr fontId="13" type="noConversion"/>
  </si>
  <si>
    <t>BAND_HPUE_INDICATOR4</t>
    <phoneticPr fontId="13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</si>
  <si>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</si>
  <si>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</si>
  <si>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</si>
  <si>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</si>
  <si>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</si>
  <si>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</si>
  <si>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</si>
  <si>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</si>
  <si>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</si>
  <si>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</si>
  <si>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</si>
  <si>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</si>
  <si>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</si>
  <si>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</si>
  <si>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</si>
  <si>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</si>
  <si>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</si>
  <si>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</si>
  <si>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</si>
  <si>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</si>
  <si>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</si>
  <si>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</si>
  <si>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</si>
  <si>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</si>
  <si>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</si>
  <si>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</si>
  <si>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</si>
  <si>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</si>
  <si>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</si>
  <si>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</si>
  <si>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</si>
  <si>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</si>
  <si>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</si>
  <si>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</si>
  <si>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</si>
  <si>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</si>
  <si>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</si>
  <si>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</si>
  <si>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</si>
  <si>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</si>
  <si>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</si>
  <si>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</si>
  <si>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</si>
  <si>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</si>
  <si>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</si>
  <si>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</si>
  <si>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</si>
  <si>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</si>
  <si>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</si>
  <si>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</si>
  <si>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</si>
  <si>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</si>
  <si>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</si>
  <si>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</si>
  <si>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</si>
  <si>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</si>
  <si>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</si>
  <si>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</si>
  <si>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</si>
  <si>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</si>
  <si>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</si>
  <si>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</si>
  <si>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</si>
  <si>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</si>
  <si>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</si>
  <si>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</si>
  <si>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</si>
  <si>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</si>
  <si>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</si>
  <si>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</si>
  <si>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</si>
  <si>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</si>
  <si>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</si>
  <si>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</si>
  <si>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</si>
  <si>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</si>
  <si>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</si>
  <si>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</si>
  <si>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</si>
  <si>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</si>
  <si>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</si>
  <si>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</si>
  <si>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</si>
  <si>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</si>
  <si>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</si>
  <si>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</si>
  <si>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</si>
  <si>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</si>
  <si>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</si>
  <si>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</si>
  <si>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</si>
  <si>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</si>
  <si>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</si>
  <si>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</si>
  <si>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</si>
  <si>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</si>
  <si>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</si>
  <si>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</si>
  <si>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</si>
  <si>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</si>
  <si>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</si>
  <si>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</si>
  <si>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</si>
  <si>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</si>
  <si>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</si>
  <si>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</si>
  <si>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</si>
  <si>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</si>
  <si>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</si>
  <si>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</si>
  <si>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</si>
  <si>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</si>
  <si>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</si>
  <si>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</si>
  <si>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</si>
  <si>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</si>
  <si>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</si>
  <si>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</si>
  <si>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</si>
  <si>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</si>
  <si>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</si>
  <si>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</si>
  <si>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</si>
  <si>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</si>
  <si>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</si>
  <si>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</si>
  <si>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</si>
  <si>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</si>
  <si>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</si>
  <si>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</si>
  <si>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</si>
  <si>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</si>
  <si>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</si>
  <si>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</si>
  <si>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</si>
  <si>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</si>
  <si>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</si>
  <si>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</si>
  <si>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</si>
  <si>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</si>
  <si>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</si>
  <si>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</si>
  <si>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</si>
  <si>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</si>
  <si>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</si>
  <si>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</si>
  <si>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</si>
  <si>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</si>
  <si>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</si>
  <si>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</si>
  <si>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</si>
  <si>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</si>
  <si>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</si>
  <si>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</si>
  <si>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</si>
  <si>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</si>
  <si>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</si>
  <si>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</si>
  <si>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</si>
  <si>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</si>
  <si>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</si>
  <si>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</si>
  <si>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</si>
  <si>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</si>
  <si>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</si>
  <si>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</si>
  <si>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</si>
  <si>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</si>
  <si>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</si>
  <si>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</si>
  <si>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</si>
  <si>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</si>
  <si>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</si>
  <si>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</si>
  <si>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</si>
  <si>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</si>
  <si>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</si>
  <si>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</si>
  <si>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</si>
  <si>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</si>
  <si>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</si>
  <si>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</si>
  <si>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</si>
  <si>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</si>
  <si>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</si>
  <si>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</si>
  <si>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</si>
  <si>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</si>
  <si>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</si>
  <si>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</si>
  <si>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</si>
  <si>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</si>
  <si>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</si>
  <si>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</si>
  <si>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</si>
  <si>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</si>
  <si>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</si>
  <si>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</si>
  <si>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</si>
  <si>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</si>
  <si>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</si>
  <si>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</si>
  <si>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</si>
  <si>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</si>
  <si>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</si>
  <si>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</si>
  <si>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</si>
  <si>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</si>
  <si>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</si>
  <si>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</si>
  <si>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</si>
  <si>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</si>
  <si>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</si>
  <si>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</si>
  <si>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</si>
  <si>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</si>
  <si>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</si>
  <si>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</si>
  <si>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</si>
  <si>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</si>
  <si>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</si>
  <si>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</si>
  <si>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</si>
  <si>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</si>
  <si>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</si>
  <si>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</si>
  <si>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</si>
  <si>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</si>
  <si>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</si>
  <si>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</si>
  <si>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</si>
  <si>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</si>
  <si>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</si>
  <si>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</si>
  <si>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</si>
  <si>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</si>
  <si>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</si>
  <si>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</si>
  <si>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</si>
  <si>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</si>
  <si>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</si>
  <si>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</si>
  <si>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</si>
  <si>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</si>
  <si>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</si>
  <si>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</si>
  <si>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</si>
  <si>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</si>
  <si>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</si>
  <si>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</si>
  <si>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</si>
  <si>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</si>
  <si>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</si>
  <si>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</si>
  <si>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</si>
  <si>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</si>
  <si>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</si>
  <si>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</si>
  <si>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</si>
  <si>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</si>
  <si>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</si>
  <si>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</si>
  <si>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</si>
  <si>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</si>
  <si>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</si>
  <si>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</si>
  <si>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</si>
  <si>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</si>
  <si>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</si>
  <si>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</si>
  <si>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</si>
  <si>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</si>
  <si>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</si>
  <si>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</si>
  <si>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</si>
  <si>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</si>
  <si>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</si>
  <si>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</si>
  <si>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</si>
  <si>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</si>
  <si>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</si>
  <si>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</si>
  <si>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</si>
  <si>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</si>
  <si>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</si>
  <si>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</si>
  <si>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</si>
  <si>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</si>
  <si>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</si>
  <si>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</si>
  <si>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</si>
  <si>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</si>
  <si>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</si>
  <si>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</si>
  <si>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</si>
  <si>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</si>
  <si>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</si>
  <si>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</si>
  <si>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</si>
  <si>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</si>
  <si>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</si>
  <si>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</si>
  <si>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</si>
  <si>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</si>
  <si>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</si>
  <si>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</si>
  <si>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</si>
  <si>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</si>
  <si>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</si>
  <si>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</si>
  <si>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</si>
  <si>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</si>
  <si>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</si>
  <si>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</si>
  <si>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</si>
  <si>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</si>
  <si>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</si>
  <si>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</si>
  <si>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</si>
  <si>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</si>
  <si>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</si>
  <si>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</si>
  <si>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</si>
  <si>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</si>
  <si>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</si>
  <si>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3" type="noConversion"/>
  </si>
  <si>
    <t>Excel template version</t>
    <phoneticPr fontId="13" type="noConversion"/>
  </si>
  <si>
    <t>Date</t>
    <phoneticPr fontId="13" type="noConversion"/>
  </si>
  <si>
    <t>Sheet</t>
    <phoneticPr fontId="13" type="noConversion"/>
  </si>
  <si>
    <t>LTE TRX route</t>
    <phoneticPr fontId="13" type="noConversion"/>
  </si>
  <si>
    <t>LTE Band split</t>
    <phoneticPr fontId="13" type="noConversion"/>
  </si>
  <si>
    <t>LTE_Band_filter</t>
    <phoneticPr fontId="13" type="noConversion"/>
  </si>
  <si>
    <t>LTE_Band_partial</t>
    <phoneticPr fontId="13" type="noConversion"/>
  </si>
  <si>
    <t>ANT_Tuner</t>
    <phoneticPr fontId="13" type="noConversion"/>
  </si>
  <si>
    <t>TAS</t>
    <phoneticPr fontId="13" type="noConversion"/>
  </si>
  <si>
    <t>CA_capability</t>
    <phoneticPr fontId="13" type="noConversion"/>
  </si>
  <si>
    <t>6/7/2017</t>
    <phoneticPr fontId="13" type="noConversion"/>
  </si>
  <si>
    <t>6/12/2017</t>
    <phoneticPr fontId="13" type="noConversion"/>
  </si>
  <si>
    <t>add new CA (8A_38A, 26A_28A, 26A_41A, 28A_38A)</t>
    <phoneticPr fontId="13" type="noConversion"/>
  </si>
  <si>
    <t>6/19/2017</t>
    <phoneticPr fontId="13" type="noConversion"/>
  </si>
  <si>
    <t>DPD</t>
    <phoneticPr fontId="13" type="noConversion"/>
  </si>
  <si>
    <t>6/27/2017</t>
    <phoneticPr fontId="13" type="noConversion"/>
  </si>
  <si>
    <t>HPUE</t>
    <phoneticPr fontId="13" type="noConversion"/>
  </si>
  <si>
    <t>new sheet</t>
    <phoneticPr fontId="13" type="noConversion"/>
  </si>
  <si>
    <t>Number</t>
    <phoneticPr fontId="13" type="noConversion"/>
  </si>
  <si>
    <t>LTE TRX route</t>
    <phoneticPr fontId="13" type="noConversion"/>
  </si>
  <si>
    <t>Tool Version (Do not change)</t>
    <phoneticPr fontId="13" type="noConversion"/>
  </si>
  <si>
    <t>SingleBand Setting</t>
    <phoneticPr fontId="13" type="noConversion"/>
  </si>
  <si>
    <t>Alternate RX SETTING</t>
    <phoneticPr fontId="13" type="noConversion"/>
  </si>
  <si>
    <t>Alternate TX SETTING</t>
    <phoneticPr fontId="13" type="noConversion"/>
  </si>
  <si>
    <t>LTE Band split</t>
    <phoneticPr fontId="13" type="noConversion"/>
  </si>
  <si>
    <t>Band Split setting</t>
    <phoneticPr fontId="13" type="noConversion"/>
  </si>
  <si>
    <t>LTE_Band_filter</t>
    <phoneticPr fontId="13" type="noConversion"/>
  </si>
  <si>
    <t>Band Filter setting</t>
    <phoneticPr fontId="13" type="noConversion"/>
  </si>
  <si>
    <t>LTE_Band_partial</t>
    <phoneticPr fontId="13" type="noConversion"/>
  </si>
  <si>
    <t>Partial Band setting</t>
    <phoneticPr fontId="13" type="noConversion"/>
  </si>
  <si>
    <t>ANT_Tuner</t>
    <phoneticPr fontId="13" type="noConversion"/>
  </si>
  <si>
    <t>IS_OLAT_ENABLE</t>
    <phoneticPr fontId="13" type="noConversion"/>
  </si>
  <si>
    <t>PDATA_LTE_ANT_STATUS</t>
    <phoneticPr fontId="13" type="noConversion"/>
  </si>
  <si>
    <t>ANT_ALTERNATE_CONFIGURE</t>
    <phoneticPr fontId="13" type="noConversion"/>
  </si>
  <si>
    <t>TAS</t>
    <phoneticPr fontId="13" type="noConversion"/>
  </si>
  <si>
    <t>By Rat TAS Feature Setting</t>
    <phoneticPr fontId="13" type="noConversion"/>
  </si>
  <si>
    <t>LTE_TAS_CAT_A_DATABASE</t>
    <phoneticPr fontId="13" type="noConversion"/>
  </si>
  <si>
    <t>LTE_TAS_CAT_B_DATABASE</t>
    <phoneticPr fontId="13" type="noConversion"/>
  </si>
  <si>
    <t>TAS_ALTERNATE_CONFIGURE</t>
    <phoneticPr fontId="13" type="noConversion"/>
  </si>
  <si>
    <t>Split Band setting</t>
    <phoneticPr fontId="13" type="noConversion"/>
  </si>
  <si>
    <t>HPUE</t>
    <phoneticPr fontId="13" type="noConversion"/>
  </si>
  <si>
    <t>LTE_HPUE_ENA</t>
    <phoneticPr fontId="13" type="noConversion"/>
  </si>
  <si>
    <t>Band HPUE setting</t>
    <phoneticPr fontId="13" type="noConversion"/>
  </si>
  <si>
    <t>ANT_FE_Data</t>
    <phoneticPr fontId="13" type="noConversion"/>
  </si>
  <si>
    <t>LTE_ANT_REORG_ENABLE</t>
    <phoneticPr fontId="13" type="noConversion"/>
  </si>
  <si>
    <t>LTE_ANT_CAT_A_DATABASE</t>
    <phoneticPr fontId="13" type="noConversion"/>
  </si>
  <si>
    <t>LTE_ANT_CAT_B_DATABASE</t>
    <phoneticPr fontId="13" type="noConversion"/>
  </si>
  <si>
    <t>ANT_Default</t>
    <phoneticPr fontId="13" type="noConversion"/>
  </si>
  <si>
    <t>LTE_ANT_ENABLE</t>
    <phoneticPr fontId="13" type="noConversion"/>
  </si>
  <si>
    <t>ANT_DAT</t>
    <phoneticPr fontId="13" type="noConversion"/>
  </si>
  <si>
    <t>LTE_DAT_ENABLE</t>
    <phoneticPr fontId="13" type="noConversion"/>
  </si>
  <si>
    <t>DAT_ALTERNATE_CONFIGURE</t>
    <phoneticPr fontId="13" type="noConversion"/>
  </si>
  <si>
    <t>Copy CFG setting</t>
    <phoneticPr fontId="13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</si>
  <si>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</si>
  <si>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</si>
  <si>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</si>
  <si>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</si>
  <si>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</si>
  <si>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</si>
  <si>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</si>
  <si>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</si>
  <si>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</si>
  <si>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</si>
  <si>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3" type="noConversion"/>
  </si>
  <si>
    <t>Don't Copy CFG setting</t>
    <phoneticPr fontId="13" type="noConversion"/>
  </si>
  <si>
    <t>Title</t>
    <phoneticPr fontId="13" type="noConversion"/>
  </si>
  <si>
    <t>(LTE_BAND)</t>
    <phoneticPr fontId="13" type="noConversion"/>
  </si>
  <si>
    <t>SingleBand Setting</t>
    <phoneticPr fontId="13" type="noConversion"/>
  </si>
  <si>
    <t>(LTE_BAND)</t>
    <phoneticPr fontId="13" type="noConversion"/>
  </si>
  <si>
    <t>PDATA_LTE_ANT_STATUS_3</t>
    <phoneticPr fontId="13" type="noConversion"/>
  </si>
  <si>
    <t>LTE_ANT_CAT_A_CONFIG_IDX0</t>
    <phoneticPr fontId="13" type="noConversion"/>
  </si>
  <si>
    <t>LTE_ANT_REORG_ENABLE(@ANT_FE_Data)</t>
    <phoneticPr fontId="13" type="noConversion"/>
  </si>
  <si>
    <t>Sring_data(Replace SetDefault to SetX)</t>
  </si>
  <si>
    <t>Print_data_in_file_down(Replace SetDefault to SetX)</t>
  </si>
  <si>
    <t>MISC</t>
    <phoneticPr fontId="14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</si>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</sst>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9" fillId="0" borderId="0"/>
    <xf numFmtId="0" fontId="3" fillId="0" borderId="0"/>
    <xf numFmtId="0" fontId="2" fillId="0" borderId="0"/>
    <xf numFmtId="0" fontId="2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1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10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1" fillId="2" borderId="5" xfId="0" applyFont="1" applyFill="1" applyBorder="1"/>
    <xf numFmtId="49" fontId="12" fillId="2" borderId="1" xfId="1" applyNumberFormat="1" applyFont="1" applyFill="1" applyBorder="1"/>
    <xf numFmtId="0" fontId="9" fillId="0" borderId="0" xfId="1"/>
    <xf numFmtId="0" fontId="12" fillId="0" borderId="0" xfId="1" applyFont="1"/>
    <xf numFmtId="49" fontId="17" fillId="5" borderId="0" xfId="0" applyNumberFormat="1" applyFont="1" applyFill="1"/>
    <xf numFmtId="49" fontId="12" fillId="2" borderId="1" xfId="1" applyNumberFormat="1" applyFont="1" applyFill="1" applyBorder="1" applyAlignment="1">
      <alignment horizontal="left" wrapText="1"/>
    </xf>
    <xf numFmtId="0" fontId="18" fillId="2" borderId="1" xfId="1" applyFont="1" applyFill="1" applyBorder="1"/>
    <xf numFmtId="0" fontId="18" fillId="3" borderId="1" xfId="1" applyFont="1" applyFill="1" applyBorder="1"/>
    <xf numFmtId="0" fontId="0" fillId="0" borderId="0" xfId="0" applyFill="1" applyBorder="1" applyProtection="1">
      <protection locked="0"/>
    </xf>
    <xf numFmtId="0" fontId="18" fillId="2" borderId="1" xfId="1" applyFont="1" applyFill="1" applyBorder="1" applyAlignment="1">
      <alignment horizontal="center" wrapText="1"/>
    </xf>
    <xf numFmtId="49" fontId="12" fillId="2" borderId="1" xfId="1" applyNumberFormat="1" applyFont="1" applyFill="1" applyBorder="1" applyAlignment="1">
      <alignment horizontal="center" wrapText="1"/>
    </xf>
    <xf numFmtId="49" fontId="12" fillId="3" borderId="1" xfId="1" applyNumberFormat="1" applyFont="1" applyFill="1" applyBorder="1" applyAlignment="1">
      <alignment horizontal="center" wrapText="1"/>
    </xf>
    <xf numFmtId="0" fontId="9" fillId="0" borderId="0" xfId="1" applyProtection="1">
      <protection locked="0"/>
    </xf>
    <xf numFmtId="0" fontId="12" fillId="0" borderId="0" xfId="1" applyFont="1" applyProtection="1">
      <protection locked="0"/>
    </xf>
    <xf numFmtId="49" fontId="12" fillId="0" borderId="0" xfId="1" applyNumberFormat="1" applyFont="1" applyBorder="1" applyProtection="1">
      <protection locked="0"/>
    </xf>
    <xf numFmtId="49" fontId="15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2" fillId="0" borderId="0" xfId="1" applyNumberFormat="1" applyFont="1" applyFill="1" applyBorder="1" applyProtection="1">
      <protection locked="0"/>
    </xf>
    <xf numFmtId="0" fontId="12" fillId="0" borderId="0" xfId="1" applyFont="1" applyFill="1" applyProtection="1">
      <protection locked="0"/>
    </xf>
    <xf numFmtId="49" fontId="12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49" fontId="12" fillId="0" borderId="3" xfId="1" applyNumberFormat="1" applyFont="1" applyFill="1" applyBorder="1" applyProtection="1"/>
    <xf numFmtId="0" fontId="9" fillId="0" borderId="0" xfId="1" applyProtection="1"/>
    <xf numFmtId="49" fontId="12" fillId="2" borderId="1" xfId="1" applyNumberFormat="1" applyFont="1" applyFill="1" applyBorder="1" applyProtection="1"/>
    <xf numFmtId="49" fontId="12" fillId="0" borderId="0" xfId="1" applyNumberFormat="1" applyFont="1" applyFill="1" applyBorder="1" applyProtection="1"/>
    <xf numFmtId="49" fontId="12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8" fillId="2" borderId="1" xfId="1" applyFont="1" applyFill="1" applyBorder="1" applyAlignment="1">
      <alignment horizontal="center"/>
    </xf>
    <xf numFmtId="0" fontId="18" fillId="3" borderId="1" xfId="1" applyFont="1" applyFill="1" applyBorder="1" applyAlignment="1">
      <alignment horizontal="center"/>
    </xf>
    <xf numFmtId="49" fontId="12" fillId="0" borderId="6" xfId="1" applyNumberFormat="1" applyFont="1" applyFill="1" applyBorder="1" applyProtection="1"/>
    <xf numFmtId="49" fontId="12" fillId="0" borderId="12" xfId="1" applyNumberFormat="1" applyFont="1" applyFill="1" applyBorder="1" applyProtection="1">
      <protection locked="0"/>
    </xf>
    <xf numFmtId="49" fontId="12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5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1" fillId="2" borderId="1" xfId="0" applyFont="1" applyFill="1" applyBorder="1"/>
    <xf numFmtId="0" fontId="8" fillId="0" borderId="0" xfId="1" applyFont="1"/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1" fillId="2" borderId="13" xfId="0" applyFont="1" applyFill="1" applyBorder="1"/>
    <xf numFmtId="0" fontId="0" fillId="4" borderId="0" xfId="0" applyFill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11" fillId="0" borderId="0" xfId="0" applyFont="1" applyFill="1" applyBorder="1"/>
    <xf numFmtId="49" fontId="12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1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7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8" fillId="3" borderId="1" xfId="1" applyFont="1" applyFill="1" applyBorder="1" applyProtection="1"/>
    <xf numFmtId="0" fontId="18" fillId="2" borderId="1" xfId="1" applyFont="1" applyFill="1" applyBorder="1" applyProtection="1"/>
    <xf numFmtId="49" fontId="12" fillId="2" borderId="1" xfId="1" applyNumberFormat="1" applyFont="1" applyFill="1" applyBorder="1" applyAlignment="1" applyProtection="1">
      <alignment horizontal="left" wrapText="1"/>
    </xf>
    <xf numFmtId="0" fontId="6" fillId="2" borderId="1" xfId="1" applyFont="1" applyFill="1" applyBorder="1" applyProtection="1"/>
    <xf numFmtId="0" fontId="7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1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49" fontId="11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1" fillId="3" borderId="3" xfId="0" applyNumberFormat="1" applyFont="1" applyFill="1" applyBorder="1"/>
    <xf numFmtId="0" fontId="1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2" fillId="0" borderId="0" xfId="1" applyFont="1" applyFill="1"/>
    <xf numFmtId="49" fontId="12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12" fillId="0" borderId="0" xfId="0" applyFont="1"/>
    <xf numFmtId="49" fontId="12" fillId="0" borderId="0" xfId="0" applyNumberFormat="1" applyFont="1" applyProtection="1"/>
    <xf numFmtId="49" fontId="12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2" fillId="0" borderId="0" xfId="0" applyNumberFormat="1" applyFont="1" applyFill="1"/>
    <xf numFmtId="0" fontId="12" fillId="0" borderId="0" xfId="0" applyFont="1" applyAlignment="1">
      <alignment wrapText="1"/>
    </xf>
    <xf numFmtId="0" fontId="12" fillId="0" borderId="0" xfId="0" applyFont="1" applyAlignment="1" applyProtection="1">
      <alignment horizontal="left"/>
    </xf>
    <xf numFmtId="0" fontId="11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12" fillId="0" borderId="0" xfId="1" applyFont="1" applyBorder="1"/>
    <xf numFmtId="0" fontId="9" fillId="0" borderId="0" xfId="1" applyBorder="1" applyProtection="1"/>
    <xf numFmtId="0" fontId="9" fillId="0" borderId="0" xfId="1" applyBorder="1" applyProtection="1">
      <protection locked="0"/>
    </xf>
    <xf numFmtId="0" fontId="9" fillId="0" borderId="0" xfId="1" applyBorder="1"/>
    <xf numFmtId="0" fontId="12" fillId="0" borderId="0" xfId="1" applyFont="1" applyBorder="1" applyProtection="1">
      <protection locked="0"/>
    </xf>
    <xf numFmtId="0" fontId="5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0" fontId="0" fillId="0" borderId="0" xfId="0"/>
    <xf numFmtId="14" fontId="25" fillId="0" borderId="1" xfId="0" applyNumberFormat="1" applyFont="1" applyBorder="1"/>
    <xf numFmtId="0" fontId="25" fillId="8" borderId="2" xfId="0" applyFont="1" applyFill="1" applyBorder="1" applyProtection="1"/>
    <xf numFmtId="0" fontId="25" fillId="0" borderId="0" xfId="0" applyFont="1" applyFill="1" applyBorder="1" applyProtection="1"/>
    <xf numFmtId="0" fontId="25" fillId="8" borderId="5" xfId="0" applyFont="1" applyFill="1" applyBorder="1" applyProtection="1"/>
    <xf numFmtId="0" fontId="25" fillId="8" borderId="5" xfId="0" applyFont="1" applyFill="1" applyBorder="1" applyAlignment="1" applyProtection="1">
      <alignment wrapText="1"/>
    </xf>
    <xf numFmtId="0" fontId="25" fillId="0" borderId="17" xfId="0" applyFont="1" applyFill="1" applyBorder="1" applyAlignment="1" applyProtection="1">
      <alignment horizontal="center"/>
      <protection locked="0"/>
    </xf>
    <xf numFmtId="0" fontId="25" fillId="0" borderId="15" xfId="0" applyFont="1" applyFill="1" applyBorder="1" applyAlignment="1" applyProtection="1">
      <alignment horizontal="right"/>
      <protection locked="0"/>
    </xf>
    <xf numFmtId="0" fontId="25" fillId="0" borderId="19" xfId="0" applyFont="1" applyFill="1" applyBorder="1" applyAlignment="1" applyProtection="1">
      <alignment horizontal="right"/>
    </xf>
    <xf numFmtId="0" fontId="25" fillId="0" borderId="14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21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8" fillId="2" borderId="6" xfId="1" applyFont="1" applyFill="1" applyBorder="1" applyAlignment="1">
      <alignment horizontal="center"/>
    </xf>
    <xf numFmtId="0" fontId="18" fillId="2" borderId="7" xfId="1" applyFont="1" applyFill="1" applyBorder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1" xfId="1" applyFont="1" applyFill="1" applyBorder="1" applyAlignment="1">
      <alignment horizontal="center"/>
    </xf>
    <xf numFmtId="0" fontId="18" fillId="2" borderId="1" xfId="1" applyFont="1" applyFill="1" applyBorder="1" applyAlignment="1" applyProtection="1">
      <alignment horizontal="center"/>
    </xf>
    <xf numFmtId="0" fontId="18" fillId="2" borderId="6" xfId="1" applyFont="1" applyFill="1" applyBorder="1" applyAlignment="1" applyProtection="1">
      <alignment horizontal="center"/>
    </xf>
    <xf numFmtId="0" fontId="18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8" fillId="2" borderId="9" xfId="1" applyFont="1" applyFill="1" applyBorder="1" applyAlignment="1" applyProtection="1">
      <alignment horizontal="center"/>
    </xf>
    <xf numFmtId="0" fontId="18" fillId="2" borderId="10" xfId="1" applyFont="1" applyFill="1" applyBorder="1" applyAlignment="1" applyProtection="1">
      <alignment horizontal="center"/>
    </xf>
    <xf numFmtId="0" fontId="18" fillId="2" borderId="9" xfId="1" applyFont="1" applyFill="1" applyBorder="1" applyAlignment="1">
      <alignment horizontal="center"/>
    </xf>
    <xf numFmtId="0" fontId="25" fillId="0" borderId="11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8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8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5">
    <cellStyle name="Normal" xfId="0" builtinId="0"/>
    <cellStyle name="一般 2" xfId="1"/>
    <cellStyle name="一般 2 2" xfId="2"/>
    <cellStyle name="一般 2 2 2" xfId="4"/>
    <cellStyle name="一般 2 3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17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85</v>
      </c>
      <c r="C13" s="204" t="s">
        <v>829</v>
      </c>
      <c r="D13" s="205" t="s">
        <v>133</v>
      </c>
      <c r="E13" s="206" t="s">
        <v>105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264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86</v>
      </c>
      <c r="C14" s="204" t="s">
        <v>829</v>
      </c>
      <c r="D14" s="205" t="s">
        <v>98</v>
      </c>
      <c r="E14" s="206" t="s">
        <v>134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267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1524</v>
      </c>
      <c r="G15" s="208" t="s">
        <v>1524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1526</v>
      </c>
      <c r="M15" s="214" t="s">
        <v>1526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274</v>
      </c>
      <c r="C16" s="204" t="s">
        <v>829</v>
      </c>
      <c r="D16" s="205" t="s">
        <v>101</v>
      </c>
      <c r="E16" s="206" t="s">
        <v>103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265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91</v>
      </c>
      <c r="C17" s="204" t="s">
        <v>829</v>
      </c>
      <c r="D17" s="205" t="s">
        <v>133</v>
      </c>
      <c r="E17" s="206" t="s">
        <v>105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26</v>
      </c>
      <c r="C18" s="204" t="s">
        <v>829</v>
      </c>
      <c r="D18" s="205" t="s">
        <v>49</v>
      </c>
      <c r="E18" s="206" t="s">
        <v>28</v>
      </c>
      <c r="F18" s="207" t="s">
        <v>1525</v>
      </c>
      <c r="G18" s="208" t="s">
        <v>1525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1527</v>
      </c>
      <c r="M18" s="214" t="s">
        <v>1527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94</v>
      </c>
      <c r="C19" s="204" t="s">
        <v>829</v>
      </c>
      <c r="D19" s="205" t="s">
        <v>132</v>
      </c>
      <c r="E19" s="206" t="s">
        <v>50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265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42</v>
      </c>
      <c r="C20" s="204" t="s">
        <v>829</v>
      </c>
      <c r="D20" s="205" t="s">
        <v>100</v>
      </c>
      <c r="E20" s="206" t="s">
        <v>102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267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95</v>
      </c>
      <c r="C21" s="204" t="s">
        <v>829</v>
      </c>
      <c r="D21" s="205" t="s">
        <v>132</v>
      </c>
      <c r="E21" s="206" t="s">
        <v>50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265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23</v>
      </c>
      <c r="C22" s="204" t="s">
        <v>829</v>
      </c>
      <c r="D22" s="205" t="s">
        <v>100</v>
      </c>
      <c r="E22" s="206" t="s">
        <v>135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96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15</v>
      </c>
      <c r="C24" s="204" t="s">
        <v>830</v>
      </c>
      <c r="D24" s="205" t="s">
        <v>16</v>
      </c>
      <c r="E24" s="206" t="s">
        <v>29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30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15</v>
      </c>
      <c r="C25" s="204" t="s">
        <v>830</v>
      </c>
      <c r="D25" s="205" t="s">
        <v>16</v>
      </c>
      <c r="E25" s="206" t="s">
        <v>29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30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15</v>
      </c>
      <c r="C26" s="204" t="s">
        <v>830</v>
      </c>
      <c r="D26" s="205" t="s">
        <v>16</v>
      </c>
      <c r="E26" s="206" t="s">
        <v>29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30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15</v>
      </c>
      <c r="C27" s="204" t="s">
        <v>830</v>
      </c>
      <c r="D27" s="205" t="s">
        <v>16</v>
      </c>
      <c r="E27" s="206" t="s">
        <v>29</v>
      </c>
      <c r="F27" s="207" t="s">
        <v>11</v>
      </c>
      <c r="G27" s="208" t="s">
        <v>11</v>
      </c>
      <c r="H27" s="209" t="s">
        <v>852</v>
      </c>
      <c r="I27" s="210" t="s">
        <v>852</v>
      </c>
      <c r="J27" s="211" t="s">
        <v>13</v>
      </c>
      <c r="K27" s="212" t="s">
        <v>30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EFvL5KJH/kH9FVmWQ9gA+SiwUzBD5reAHpSDNBeinAqlqCUKIrKiMeBaDQAJ9mX817oXUs2E85yKMrQdy/XArA==" saltValue="8/XrcslRuEOmB6HB74sMCg==" spinCount="100000" sheet="1" objects="1" scenarios="1"/>
  <phoneticPr fontId="13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1" t="s">
        <v>25</v>
      </c>
      <c r="B4" s="393" t="s">
        <v>26</v>
      </c>
      <c r="C4" s="393">
        <v>2</v>
      </c>
      <c r="D4" s="21">
        <v>1</v>
      </c>
      <c r="E4" s="238">
        <v>7805</v>
      </c>
      <c r="F4" s="239">
        <v>7255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1"/>
      <c r="B5" s="394"/>
      <c r="C5" s="395"/>
      <c r="D5" s="21">
        <v>2</v>
      </c>
      <c r="E5" s="238">
        <v>8030</v>
      </c>
      <c r="F5" s="239">
        <v>7480</v>
      </c>
      <c r="G5" s="240" t="s">
        <v>27</v>
      </c>
      <c r="H5" s="242" t="s">
        <v>104</v>
      </c>
      <c r="I5" s="244" t="s">
        <v>264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1"/>
      <c r="B6" s="394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4" t="s">
        <v>15</v>
      </c>
      <c r="C7" s="394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4"/>
      <c r="C8" s="394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4"/>
      <c r="C9" s="394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4" t="s">
        <v>15</v>
      </c>
      <c r="C10" s="394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4"/>
      <c r="C11" s="394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4"/>
      <c r="C12" s="394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4" t="s">
        <v>15</v>
      </c>
      <c r="C13" s="394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4"/>
      <c r="C14" s="394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4"/>
      <c r="C15" s="394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4" t="s">
        <v>15</v>
      </c>
      <c r="C16" s="394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4"/>
      <c r="C17" s="394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4"/>
      <c r="C18" s="394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biRVTsboC8mTMTeepFlUUgdrkAcKI8XhhQH/+clK9GBB7gHqk6iDNTwY8czRjEgAnNKIoU+Tmzz08rE+F6Bepw==" saltValue="GPuZkSJNjD47fGcXeqZF1A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3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7vfSCrPXEkmTzrTZ1cHuTXyhwKdFprk+vruRBkAI5hpwaRQEdfIsSbXtCvtFo3qpuCZphYs+Rx2z04hmYs7FYA==" saltValue="qJXNX1odWqAm6WI3DGIaIA==" spinCount="100000" sheet="1" objects="1" scenarios="1"/>
  <phoneticPr fontId="13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+CYTl7ra89LRKNwPtBwG7SoHtpDD3JN37EG2xUWG2jQ7xJNk5ljKuV6zNqZI7JWOJ6FAYc/yuKoySnpRVqGzsQ==" saltValue="krCXt7URkzrXPyWZYQcX7g==" spinCount="100000" sheet="1" objects="1" scenarios="1"/>
  <phoneticPr fontId="13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1444</v>
      </c>
    </row>
    <row r="14" spans="1:2">
      <c r="A14" s="8" t="s">
        <v>390</v>
      </c>
      <c r="B14" s="271" t="s">
        <v>1445</v>
      </c>
    </row>
    <row r="15" spans="1:2">
      <c r="A15" s="8" t="s">
        <v>391</v>
      </c>
      <c r="B15" s="271" t="s">
        <v>1446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LTE_Band5</v>
      </c>
      <c r="C36" s="273" t="s">
        <v>389</v>
      </c>
      <c r="D36" s="275" t="s">
        <v>389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LTE_Band7</v>
      </c>
      <c r="C37" s="273" t="s">
        <v>387</v>
      </c>
      <c r="D37" s="275" t="s">
        <v>387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LTE_Band25</v>
      </c>
      <c r="C39" s="273" t="s">
        <v>388</v>
      </c>
      <c r="D39" s="275" t="s">
        <v>388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LTE_Band26</v>
      </c>
      <c r="C40" s="273" t="s">
        <v>389</v>
      </c>
      <c r="D40" s="275" t="s">
        <v>389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LTE_Band28</v>
      </c>
      <c r="C41" s="273" t="s">
        <v>391</v>
      </c>
      <c r="D41" s="275" t="s">
        <v>391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LTE_Band34</v>
      </c>
      <c r="C42" s="273" t="s">
        <v>388</v>
      </c>
      <c r="D42" s="275" t="s">
        <v>388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LTE_Band38</v>
      </c>
      <c r="C43" s="273" t="s">
        <v>387</v>
      </c>
      <c r="D43" s="275" t="s">
        <v>387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LTE_Band39</v>
      </c>
      <c r="C44" s="273" t="s">
        <v>388</v>
      </c>
      <c r="D44" s="275" t="s">
        <v>388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LTE_Band40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LTE_Band41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LTE_BandNone</v>
      </c>
      <c r="C47" s="273"/>
      <c r="D47" s="275"/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LTE_BandNone</v>
      </c>
      <c r="C48" s="273"/>
      <c r="D48" s="275"/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LTE_BandNone</v>
      </c>
      <c r="C49" s="273"/>
      <c r="D49" s="275"/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LTE_BandNone</v>
      </c>
      <c r="C50" s="273"/>
      <c r="D50" s="275"/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BwZEKAr2Z+bC1O4rZX5ge2KZrIRYSTInLVO6rfJdt8X7zgIFfSWjKHCG/WJin0Vvb1ym05CfppJU4XSeoMLMmQ==" saltValue="0yQIxVpe9ghnNSN7w3GSqQ==" spinCount="100000" sheet="1" objects="1" scenarios="1"/>
  <phoneticPr fontId="13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1447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1447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1447</v>
      </c>
      <c r="C22" s="322" t="s">
        <v>1448</v>
      </c>
      <c r="D22" s="323" t="s">
        <v>613</v>
      </c>
      <c r="E22" s="81"/>
    </row>
    <row r="23" spans="1:5">
      <c r="A23" s="100" t="s">
        <v>499</v>
      </c>
      <c r="B23" s="321" t="s">
        <v>1447</v>
      </c>
      <c r="C23" s="322" t="s">
        <v>1449</v>
      </c>
      <c r="D23" s="323" t="s">
        <v>613</v>
      </c>
      <c r="E23" s="81"/>
    </row>
    <row r="24" spans="1:5">
      <c r="A24" s="100" t="s">
        <v>510</v>
      </c>
      <c r="B24" s="321" t="s">
        <v>1447</v>
      </c>
      <c r="C24" s="322" t="s">
        <v>1450</v>
      </c>
      <c r="D24" s="323" t="s">
        <v>613</v>
      </c>
      <c r="E24" s="81"/>
    </row>
    <row r="25" spans="1:5">
      <c r="A25" s="100" t="s">
        <v>511</v>
      </c>
      <c r="B25" s="321" t="s">
        <v>1447</v>
      </c>
      <c r="C25" s="322" t="s">
        <v>1451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7" t="s">
        <v>1401</v>
      </c>
      <c r="K54" s="398"/>
      <c r="L54" s="397" t="s">
        <v>1402</v>
      </c>
      <c r="M54" s="398"/>
      <c r="N54" s="397" t="s">
        <v>1403</v>
      </c>
      <c r="O54" s="399"/>
      <c r="P54" s="397" t="s">
        <v>1404</v>
      </c>
      <c r="Q54" s="398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LTE_Band5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LTE_Band7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LTE_Band25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LTE_Band26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LTE_Band28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LTE_Band34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LTE_Band38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LTE_Band39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LTE_Band40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LTE_Band41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LTE_BandNone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LTE_BandNone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LTE_BandNone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LTE_BandNone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7" t="s">
        <v>1401</v>
      </c>
      <c r="K84" s="398"/>
      <c r="L84" s="397" t="s">
        <v>1402</v>
      </c>
      <c r="M84" s="398"/>
      <c r="N84" s="397" t="s">
        <v>1403</v>
      </c>
      <c r="O84" s="399"/>
      <c r="P84" s="397" t="s">
        <v>1404</v>
      </c>
      <c r="Q84" s="398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7" t="s">
        <v>1401</v>
      </c>
      <c r="L105" s="398"/>
      <c r="M105" s="397" t="s">
        <v>1402</v>
      </c>
      <c r="N105" s="398"/>
      <c r="O105" s="397" t="s">
        <v>1403</v>
      </c>
      <c r="P105" s="399"/>
      <c r="Q105" s="397" t="s">
        <v>1404</v>
      </c>
      <c r="R105" s="398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6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6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6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6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6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6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6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6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6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6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6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6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6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6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6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6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6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6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6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6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6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6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6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6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6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6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6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6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6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6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6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6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6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6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6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6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6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6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6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6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7ngwf9TFAM6if99qp6l/nDYaISXNn5AmfYVltKjFrRLvG4sbban/mzLvnf3sZceqaevv9JLLPz/ydRWCz6DHdw==" saltValue="xL4OSElNbt9+Ib9/bsHTGg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3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0" t="s">
        <v>204</v>
      </c>
      <c r="D17" s="401"/>
      <c r="E17" s="401"/>
      <c r="F17" s="401"/>
      <c r="G17" s="401"/>
      <c r="H17" s="401"/>
      <c r="I17" s="400" t="s">
        <v>205</v>
      </c>
      <c r="J17" s="401"/>
      <c r="K17" s="401"/>
      <c r="L17" s="401"/>
      <c r="M17" s="402"/>
      <c r="N17" s="31" t="s">
        <v>206</v>
      </c>
      <c r="O17" s="31" t="s">
        <v>207</v>
      </c>
      <c r="P17" s="29" t="s">
        <v>206</v>
      </c>
      <c r="Q17" s="77" t="s">
        <v>1422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4" t="s">
        <v>257</v>
      </c>
      <c r="B23" s="404"/>
      <c r="C23" s="403" t="s">
        <v>204</v>
      </c>
      <c r="D23" s="403"/>
      <c r="E23" s="403"/>
      <c r="F23" s="403"/>
      <c r="G23" s="403"/>
      <c r="H23" s="403"/>
      <c r="I23" s="403" t="s">
        <v>205</v>
      </c>
      <c r="J23" s="403"/>
      <c r="K23" s="403"/>
      <c r="L23" s="403"/>
      <c r="M23" s="403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4" t="s">
        <v>208</v>
      </c>
      <c r="B28" s="404"/>
      <c r="C28" s="403" t="s">
        <v>204</v>
      </c>
      <c r="D28" s="403"/>
      <c r="E28" s="403"/>
      <c r="F28" s="403"/>
      <c r="G28" s="403"/>
      <c r="H28" s="403"/>
      <c r="I28" s="403" t="s">
        <v>205</v>
      </c>
      <c r="J28" s="403"/>
      <c r="K28" s="403"/>
      <c r="L28" s="403"/>
      <c r="M28" s="403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4" t="s">
        <v>209</v>
      </c>
      <c r="B35" s="404"/>
      <c r="C35" s="403" t="s">
        <v>204</v>
      </c>
      <c r="D35" s="403"/>
      <c r="E35" s="403"/>
      <c r="F35" s="403"/>
      <c r="G35" s="403"/>
      <c r="H35" s="403"/>
      <c r="I35" s="403" t="s">
        <v>205</v>
      </c>
      <c r="J35" s="403"/>
      <c r="K35" s="403"/>
      <c r="L35" s="403"/>
      <c r="M35" s="403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1B07IE3znI0T6LgO1vmTFJYn1LH52RwG7CjqiaRnKyf2cInJT52nOTK/5ecxEJ+PFk3OX88tVBwKbQEcf3T2oQ==" saltValue="EL76piqiZcfAcxuCM2aFUQ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3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96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62larRAtpyx+Bjyim8nrHtclZc0hS1SnFNIHdWP32690MjZfoXK06746/OlXJscHmNE5o1zxQCwOgl/B2FAfBQ==" saltValue="qWt+oZnYDl5qMApRvs/rIQ==" spinCount="100000" sheet="1" objects="1" scenarios="1"/>
  <phoneticPr fontId="13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topLeftCell="A283" workbookViewId="0">
      <selection activeCell="A293" sqref="A293:C293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1440</v>
      </c>
      <c r="B8" s="147" t="s">
        <v>1441</v>
      </c>
      <c r="C8" s="148" t="s">
        <v>1442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1464</v>
      </c>
      <c r="B11" s="15" t="s">
        <v>1465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1443</v>
      </c>
      <c r="B12" s="150" t="s">
        <v>1463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0" t="s">
        <v>973</v>
      </c>
      <c r="C21" s="159">
        <v>0</v>
      </c>
      <c r="D21" s="162">
        <v>0</v>
      </c>
      <c r="E21" s="165">
        <v>0</v>
      </c>
      <c r="F21" s="410" t="s">
        <v>973</v>
      </c>
      <c r="G21" s="168">
        <v>0</v>
      </c>
      <c r="H21" s="171">
        <v>0</v>
      </c>
      <c r="I21" s="174">
        <v>0</v>
      </c>
      <c r="J21" s="409" t="str">
        <f>'LTE TRX route'!B10</f>
        <v>LTE_Band1</v>
      </c>
    </row>
    <row r="22" spans="1:11">
      <c r="A22" s="408"/>
      <c r="B22" s="394"/>
      <c r="C22" s="159">
        <v>0</v>
      </c>
      <c r="D22" s="162">
        <v>0</v>
      </c>
      <c r="E22" s="165">
        <v>0</v>
      </c>
      <c r="F22" s="394"/>
      <c r="G22" s="168">
        <v>0</v>
      </c>
      <c r="H22" s="171">
        <v>0</v>
      </c>
      <c r="I22" s="174">
        <v>0</v>
      </c>
      <c r="J22" s="409"/>
    </row>
    <row r="23" spans="1:11">
      <c r="A23" s="408"/>
      <c r="B23" s="394"/>
      <c r="C23" s="159">
        <v>0</v>
      </c>
      <c r="D23" s="162">
        <v>0</v>
      </c>
      <c r="E23" s="165">
        <v>0</v>
      </c>
      <c r="F23" s="394"/>
      <c r="G23" s="168">
        <v>0</v>
      </c>
      <c r="H23" s="171">
        <v>0</v>
      </c>
      <c r="I23" s="174">
        <v>0</v>
      </c>
      <c r="J23" s="409"/>
    </row>
    <row r="24" spans="1:11">
      <c r="A24" s="408"/>
      <c r="B24" s="394"/>
      <c r="C24" s="159">
        <v>0</v>
      </c>
      <c r="D24" s="162">
        <v>0</v>
      </c>
      <c r="E24" s="165">
        <v>0</v>
      </c>
      <c r="F24" s="394"/>
      <c r="G24" s="168">
        <v>0</v>
      </c>
      <c r="H24" s="171">
        <v>0</v>
      </c>
      <c r="I24" s="174">
        <v>0</v>
      </c>
      <c r="J24" s="409"/>
    </row>
    <row r="25" spans="1:11">
      <c r="A25" s="408"/>
      <c r="B25" s="394"/>
      <c r="C25" s="159">
        <v>0</v>
      </c>
      <c r="D25" s="162">
        <v>0</v>
      </c>
      <c r="E25" s="165">
        <v>0</v>
      </c>
      <c r="F25" s="394"/>
      <c r="G25" s="168">
        <v>0</v>
      </c>
      <c r="H25" s="171">
        <v>0</v>
      </c>
      <c r="I25" s="174">
        <v>0</v>
      </c>
      <c r="J25" s="409"/>
    </row>
    <row r="26" spans="1:11" ht="15.75" thickBot="1">
      <c r="A26" s="408"/>
      <c r="B26" s="394"/>
      <c r="C26" s="160">
        <v>0</v>
      </c>
      <c r="D26" s="163">
        <v>0</v>
      </c>
      <c r="E26" s="166">
        <v>0</v>
      </c>
      <c r="F26" s="394"/>
      <c r="G26" s="169">
        <v>0</v>
      </c>
      <c r="H26" s="172">
        <v>0</v>
      </c>
      <c r="I26" s="175">
        <v>0</v>
      </c>
      <c r="J26" s="409"/>
    </row>
    <row r="27" spans="1:11">
      <c r="A27" s="407" t="s">
        <v>54</v>
      </c>
      <c r="B27" s="410" t="s">
        <v>973</v>
      </c>
      <c r="C27" s="159">
        <v>0</v>
      </c>
      <c r="D27" s="162">
        <v>0</v>
      </c>
      <c r="E27" s="165">
        <v>0</v>
      </c>
      <c r="F27" s="410" t="s">
        <v>973</v>
      </c>
      <c r="G27" s="168">
        <v>0</v>
      </c>
      <c r="H27" s="171">
        <v>0</v>
      </c>
      <c r="I27" s="174">
        <v>0</v>
      </c>
      <c r="J27" s="409" t="str">
        <f>'LTE TRX route'!B11</f>
        <v>LTE_Band2</v>
      </c>
    </row>
    <row r="28" spans="1:11">
      <c r="A28" s="408"/>
      <c r="B28" s="394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09"/>
    </row>
    <row r="29" spans="1:11">
      <c r="A29" s="408"/>
      <c r="B29" s="394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09"/>
    </row>
    <row r="30" spans="1:11">
      <c r="A30" s="408"/>
      <c r="B30" s="394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09"/>
    </row>
    <row r="31" spans="1:11">
      <c r="A31" s="408"/>
      <c r="B31" s="394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09"/>
    </row>
    <row r="32" spans="1:11" ht="15.75" thickBot="1">
      <c r="A32" s="408"/>
      <c r="B32" s="394"/>
      <c r="C32" s="160">
        <v>0</v>
      </c>
      <c r="D32" s="163">
        <v>0</v>
      </c>
      <c r="E32" s="166">
        <v>0</v>
      </c>
      <c r="F32" s="411"/>
      <c r="G32" s="169">
        <v>0</v>
      </c>
      <c r="H32" s="172">
        <v>0</v>
      </c>
      <c r="I32" s="175">
        <v>0</v>
      </c>
      <c r="J32" s="409"/>
    </row>
    <row r="33" spans="1:10">
      <c r="A33" s="407" t="s">
        <v>55</v>
      </c>
      <c r="B33" s="410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2" t="str">
        <f>'LTE TRX route'!B12</f>
        <v>LTE_Band3</v>
      </c>
    </row>
    <row r="34" spans="1:10">
      <c r="A34" s="408"/>
      <c r="B34" s="394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09"/>
    </row>
    <row r="35" spans="1:10">
      <c r="A35" s="408"/>
      <c r="B35" s="394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09"/>
    </row>
    <row r="36" spans="1:10">
      <c r="A36" s="408"/>
      <c r="B36" s="394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09"/>
    </row>
    <row r="37" spans="1:10">
      <c r="A37" s="408"/>
      <c r="B37" s="394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09"/>
    </row>
    <row r="38" spans="1:10" ht="15.75" thickBot="1">
      <c r="A38" s="408"/>
      <c r="B38" s="394"/>
      <c r="C38" s="160">
        <v>0</v>
      </c>
      <c r="D38" s="163">
        <v>0</v>
      </c>
      <c r="E38" s="166">
        <v>0</v>
      </c>
      <c r="F38" s="411"/>
      <c r="G38" s="169">
        <v>0</v>
      </c>
      <c r="H38" s="172">
        <v>0</v>
      </c>
      <c r="I38" s="175">
        <v>0</v>
      </c>
      <c r="J38" s="413"/>
    </row>
    <row r="39" spans="1:10">
      <c r="A39" s="407" t="s">
        <v>56</v>
      </c>
      <c r="B39" s="410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09" t="str">
        <f>'LTE TRX route'!B13</f>
        <v>LTE_Band5</v>
      </c>
    </row>
    <row r="40" spans="1:10">
      <c r="A40" s="408"/>
      <c r="B40" s="394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09"/>
    </row>
    <row r="41" spans="1:10">
      <c r="A41" s="408"/>
      <c r="B41" s="394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09"/>
    </row>
    <row r="42" spans="1:10">
      <c r="A42" s="408"/>
      <c r="B42" s="394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09"/>
    </row>
    <row r="43" spans="1:10">
      <c r="A43" s="408"/>
      <c r="B43" s="394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09"/>
    </row>
    <row r="44" spans="1:10" ht="15.75" thickBot="1">
      <c r="A44" s="408"/>
      <c r="B44" s="394"/>
      <c r="C44" s="160">
        <v>0</v>
      </c>
      <c r="D44" s="163">
        <v>0</v>
      </c>
      <c r="E44" s="166">
        <v>0</v>
      </c>
      <c r="F44" s="411"/>
      <c r="G44" s="169">
        <v>0</v>
      </c>
      <c r="H44" s="172">
        <v>0</v>
      </c>
      <c r="I44" s="175">
        <v>0</v>
      </c>
      <c r="J44" s="409"/>
    </row>
    <row r="45" spans="1:10">
      <c r="A45" s="407" t="s">
        <v>57</v>
      </c>
      <c r="B45" s="410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2" t="str">
        <f>'LTE TRX route'!B14</f>
        <v>LTE_Band7</v>
      </c>
    </row>
    <row r="46" spans="1:10">
      <c r="A46" s="408"/>
      <c r="B46" s="394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09"/>
    </row>
    <row r="47" spans="1:10">
      <c r="A47" s="408"/>
      <c r="B47" s="394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09"/>
    </row>
    <row r="48" spans="1:10">
      <c r="A48" s="408"/>
      <c r="B48" s="394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09"/>
    </row>
    <row r="49" spans="1:10">
      <c r="A49" s="408"/>
      <c r="B49" s="394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09"/>
    </row>
    <row r="50" spans="1:10" ht="15.75" thickBot="1">
      <c r="A50" s="408"/>
      <c r="B50" s="394"/>
      <c r="C50" s="160">
        <v>0</v>
      </c>
      <c r="D50" s="163">
        <v>0</v>
      </c>
      <c r="E50" s="166">
        <v>0</v>
      </c>
      <c r="F50" s="411"/>
      <c r="G50" s="169">
        <v>0</v>
      </c>
      <c r="H50" s="172">
        <v>0</v>
      </c>
      <c r="I50" s="175">
        <v>0</v>
      </c>
      <c r="J50" s="413"/>
    </row>
    <row r="51" spans="1:10">
      <c r="A51" s="407" t="s">
        <v>58</v>
      </c>
      <c r="B51" s="410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2" t="str">
        <f>'LTE TRX route'!B15</f>
        <v>LTE_Band8</v>
      </c>
    </row>
    <row r="52" spans="1:10">
      <c r="A52" s="408"/>
      <c r="B52" s="394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09"/>
    </row>
    <row r="53" spans="1:10">
      <c r="A53" s="408"/>
      <c r="B53" s="394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09"/>
    </row>
    <row r="54" spans="1:10">
      <c r="A54" s="408"/>
      <c r="B54" s="394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09"/>
    </row>
    <row r="55" spans="1:10">
      <c r="A55" s="408"/>
      <c r="B55" s="394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09"/>
    </row>
    <row r="56" spans="1:10" ht="15.75" thickBot="1">
      <c r="A56" s="408"/>
      <c r="B56" s="394"/>
      <c r="C56" s="160">
        <v>0</v>
      </c>
      <c r="D56" s="163">
        <v>0</v>
      </c>
      <c r="E56" s="166">
        <v>0</v>
      </c>
      <c r="F56" s="411"/>
      <c r="G56" s="169">
        <v>0</v>
      </c>
      <c r="H56" s="172">
        <v>0</v>
      </c>
      <c r="I56" s="175">
        <v>0</v>
      </c>
      <c r="J56" s="413"/>
    </row>
    <row r="57" spans="1:10">
      <c r="A57" s="407" t="s">
        <v>59</v>
      </c>
      <c r="B57" s="410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2" t="str">
        <f>'LTE TRX route'!B16</f>
        <v>LTE_Band25</v>
      </c>
    </row>
    <row r="58" spans="1:10">
      <c r="A58" s="408"/>
      <c r="B58" s="394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09"/>
    </row>
    <row r="59" spans="1:10">
      <c r="A59" s="408"/>
      <c r="B59" s="394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09"/>
    </row>
    <row r="60" spans="1:10">
      <c r="A60" s="408"/>
      <c r="B60" s="394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09"/>
    </row>
    <row r="61" spans="1:10">
      <c r="A61" s="408"/>
      <c r="B61" s="394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09"/>
    </row>
    <row r="62" spans="1:10" ht="15.75" thickBot="1">
      <c r="A62" s="408"/>
      <c r="B62" s="394"/>
      <c r="C62" s="160">
        <v>0</v>
      </c>
      <c r="D62" s="163">
        <v>0</v>
      </c>
      <c r="E62" s="166">
        <v>0</v>
      </c>
      <c r="F62" s="411"/>
      <c r="G62" s="169">
        <v>0</v>
      </c>
      <c r="H62" s="172">
        <v>0</v>
      </c>
      <c r="I62" s="175">
        <v>0</v>
      </c>
      <c r="J62" s="413"/>
    </row>
    <row r="63" spans="1:10">
      <c r="A63" s="407" t="s">
        <v>60</v>
      </c>
      <c r="B63" s="410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2" t="str">
        <f>'LTE TRX route'!B17</f>
        <v>LTE_Band26</v>
      </c>
    </row>
    <row r="64" spans="1:10">
      <c r="A64" s="408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09"/>
    </row>
    <row r="65" spans="1:10">
      <c r="A65" s="408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09"/>
    </row>
    <row r="66" spans="1:10">
      <c r="A66" s="408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09"/>
    </row>
    <row r="67" spans="1:10">
      <c r="A67" s="408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09"/>
    </row>
    <row r="68" spans="1:10" ht="15.75" thickBot="1">
      <c r="A68" s="408"/>
      <c r="B68" s="411"/>
      <c r="C68" s="160">
        <v>0</v>
      </c>
      <c r="D68" s="163">
        <v>0</v>
      </c>
      <c r="E68" s="166">
        <v>0</v>
      </c>
      <c r="F68" s="411"/>
      <c r="G68" s="169">
        <v>0</v>
      </c>
      <c r="H68" s="172">
        <v>0</v>
      </c>
      <c r="I68" s="175">
        <v>0</v>
      </c>
      <c r="J68" s="413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09" t="str">
        <f>'LTE TRX route'!B18</f>
        <v>LTE_Band28</v>
      </c>
    </row>
    <row r="70" spans="1:10">
      <c r="A70" s="408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09"/>
    </row>
    <row r="71" spans="1:10">
      <c r="A71" s="408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09"/>
    </row>
    <row r="72" spans="1:10">
      <c r="A72" s="408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09"/>
    </row>
    <row r="73" spans="1:10">
      <c r="A73" s="408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09"/>
    </row>
    <row r="74" spans="1:10" ht="15.75" thickBot="1">
      <c r="A74" s="408"/>
      <c r="B74" s="411"/>
      <c r="C74" s="160">
        <v>0</v>
      </c>
      <c r="D74" s="163">
        <v>0</v>
      </c>
      <c r="E74" s="166">
        <v>0</v>
      </c>
      <c r="F74" s="411"/>
      <c r="G74" s="169">
        <v>0</v>
      </c>
      <c r="H74" s="172">
        <v>0</v>
      </c>
      <c r="I74" s="175">
        <v>0</v>
      </c>
      <c r="J74" s="413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09" t="str">
        <f>'LTE TRX route'!B19</f>
        <v>LTE_Band34</v>
      </c>
    </row>
    <row r="76" spans="1:10">
      <c r="A76" s="408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09"/>
    </row>
    <row r="77" spans="1:10">
      <c r="A77" s="408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09"/>
    </row>
    <row r="78" spans="1:10">
      <c r="A78" s="408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09"/>
    </row>
    <row r="79" spans="1:10">
      <c r="A79" s="408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09"/>
    </row>
    <row r="80" spans="1:10" ht="15.75" thickBot="1">
      <c r="A80" s="408"/>
      <c r="B80" s="411"/>
      <c r="C80" s="160">
        <v>0</v>
      </c>
      <c r="D80" s="163">
        <v>0</v>
      </c>
      <c r="E80" s="166">
        <v>0</v>
      </c>
      <c r="F80" s="411"/>
      <c r="G80" s="169">
        <v>0</v>
      </c>
      <c r="H80" s="172">
        <v>0</v>
      </c>
      <c r="I80" s="175">
        <v>0</v>
      </c>
      <c r="J80" s="409"/>
    </row>
    <row r="81" spans="1:10">
      <c r="A81" s="407" t="s">
        <v>63</v>
      </c>
      <c r="B81" s="410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2" t="str">
        <f>'LTE TRX route'!B20</f>
        <v>LTE_Band38</v>
      </c>
    </row>
    <row r="82" spans="1:10">
      <c r="A82" s="408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09"/>
    </row>
    <row r="83" spans="1:10">
      <c r="A83" s="408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09"/>
    </row>
    <row r="84" spans="1:10">
      <c r="A84" s="408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09"/>
    </row>
    <row r="85" spans="1:10">
      <c r="A85" s="408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09"/>
    </row>
    <row r="86" spans="1:10" ht="15.75" thickBot="1">
      <c r="A86" s="408"/>
      <c r="B86" s="411"/>
      <c r="C86" s="160">
        <v>0</v>
      </c>
      <c r="D86" s="163">
        <v>0</v>
      </c>
      <c r="E86" s="166">
        <v>0</v>
      </c>
      <c r="F86" s="411"/>
      <c r="G86" s="169">
        <v>0</v>
      </c>
      <c r="H86" s="172">
        <v>0</v>
      </c>
      <c r="I86" s="175">
        <v>0</v>
      </c>
      <c r="J86" s="413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2" t="str">
        <f>'LTE TRX route'!B21</f>
        <v>LTE_Band39</v>
      </c>
    </row>
    <row r="88" spans="1:10">
      <c r="A88" s="408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09"/>
    </row>
    <row r="89" spans="1:10">
      <c r="A89" s="408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09"/>
    </row>
    <row r="90" spans="1:10">
      <c r="A90" s="408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09"/>
    </row>
    <row r="91" spans="1:10">
      <c r="A91" s="408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09"/>
    </row>
    <row r="92" spans="1:10" ht="15.75" thickBot="1">
      <c r="A92" s="408"/>
      <c r="B92" s="411"/>
      <c r="C92" s="160">
        <v>0</v>
      </c>
      <c r="D92" s="163">
        <v>0</v>
      </c>
      <c r="E92" s="166">
        <v>0</v>
      </c>
      <c r="F92" s="411"/>
      <c r="G92" s="169">
        <v>0</v>
      </c>
      <c r="H92" s="172">
        <v>0</v>
      </c>
      <c r="I92" s="175">
        <v>0</v>
      </c>
      <c r="J92" s="413"/>
    </row>
    <row r="93" spans="1:10">
      <c r="A93" s="407" t="s">
        <v>65</v>
      </c>
      <c r="B93" s="410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09" t="str">
        <f>'LTE TRX route'!B22</f>
        <v>LTE_Band40</v>
      </c>
    </row>
    <row r="94" spans="1:10">
      <c r="A94" s="408"/>
      <c r="B94" s="394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09"/>
    </row>
    <row r="95" spans="1:10">
      <c r="A95" s="408"/>
      <c r="B95" s="394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09"/>
    </row>
    <row r="96" spans="1:10">
      <c r="A96" s="408"/>
      <c r="B96" s="394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09"/>
    </row>
    <row r="97" spans="1:10">
      <c r="A97" s="408"/>
      <c r="B97" s="394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09"/>
    </row>
    <row r="98" spans="1:10" ht="15.75" thickBot="1">
      <c r="A98" s="408"/>
      <c r="B98" s="394"/>
      <c r="C98" s="160">
        <v>0</v>
      </c>
      <c r="D98" s="163">
        <v>0</v>
      </c>
      <c r="E98" s="166">
        <v>0</v>
      </c>
      <c r="F98" s="411"/>
      <c r="G98" s="169">
        <v>0</v>
      </c>
      <c r="H98" s="172">
        <v>0</v>
      </c>
      <c r="I98" s="175">
        <v>0</v>
      </c>
      <c r="J98" s="409"/>
    </row>
    <row r="99" spans="1:10">
      <c r="A99" s="407" t="s">
        <v>66</v>
      </c>
      <c r="B99" s="410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2" t="str">
        <f>'LTE TRX route'!B23</f>
        <v>LTE_Band41</v>
      </c>
    </row>
    <row r="100" spans="1:10">
      <c r="A100" s="408"/>
      <c r="B100" s="394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09"/>
    </row>
    <row r="101" spans="1:10">
      <c r="A101" s="408"/>
      <c r="B101" s="394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09"/>
    </row>
    <row r="102" spans="1:10">
      <c r="A102" s="408"/>
      <c r="B102" s="394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09"/>
    </row>
    <row r="103" spans="1:10">
      <c r="A103" s="408"/>
      <c r="B103" s="394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09"/>
    </row>
    <row r="104" spans="1:10" ht="15.75" thickBot="1">
      <c r="A104" s="408"/>
      <c r="B104" s="394"/>
      <c r="C104" s="160">
        <v>0</v>
      </c>
      <c r="D104" s="163">
        <v>0</v>
      </c>
      <c r="E104" s="166">
        <v>0</v>
      </c>
      <c r="F104" s="411"/>
      <c r="G104" s="169">
        <v>0</v>
      </c>
      <c r="H104" s="172">
        <v>0</v>
      </c>
      <c r="I104" s="175">
        <v>0</v>
      </c>
      <c r="J104" s="413"/>
    </row>
    <row r="105" spans="1:10">
      <c r="A105" s="407" t="s">
        <v>67</v>
      </c>
      <c r="B105" s="410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09" t="str">
        <f>'LTE TRX route'!B24</f>
        <v>LTE_BandNone</v>
      </c>
    </row>
    <row r="106" spans="1:10">
      <c r="A106" s="408"/>
      <c r="B106" s="394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09"/>
    </row>
    <row r="107" spans="1:10">
      <c r="A107" s="408"/>
      <c r="B107" s="394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09"/>
    </row>
    <row r="108" spans="1:10">
      <c r="A108" s="408"/>
      <c r="B108" s="394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09"/>
    </row>
    <row r="109" spans="1:10">
      <c r="A109" s="408"/>
      <c r="B109" s="394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09"/>
    </row>
    <row r="110" spans="1:10" ht="15.75" thickBot="1">
      <c r="A110" s="408"/>
      <c r="B110" s="394"/>
      <c r="C110" s="160">
        <v>0</v>
      </c>
      <c r="D110" s="163">
        <v>0</v>
      </c>
      <c r="E110" s="166">
        <v>0</v>
      </c>
      <c r="F110" s="411"/>
      <c r="G110" s="169">
        <v>0</v>
      </c>
      <c r="H110" s="172">
        <v>0</v>
      </c>
      <c r="I110" s="175">
        <v>0</v>
      </c>
      <c r="J110" s="413"/>
    </row>
    <row r="111" spans="1:10">
      <c r="A111" s="407" t="s">
        <v>68</v>
      </c>
      <c r="B111" s="410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09" t="str">
        <f>'LTE TRX route'!B25</f>
        <v>LTE_BandNone</v>
      </c>
    </row>
    <row r="112" spans="1:10">
      <c r="A112" s="408"/>
      <c r="B112" s="394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09"/>
    </row>
    <row r="113" spans="1:10">
      <c r="A113" s="408"/>
      <c r="B113" s="394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09"/>
    </row>
    <row r="114" spans="1:10">
      <c r="A114" s="408"/>
      <c r="B114" s="394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09"/>
    </row>
    <row r="115" spans="1:10">
      <c r="A115" s="408"/>
      <c r="B115" s="394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09"/>
    </row>
    <row r="116" spans="1:10" ht="15.75" thickBot="1">
      <c r="A116" s="408"/>
      <c r="B116" s="394"/>
      <c r="C116" s="160">
        <v>0</v>
      </c>
      <c r="D116" s="163">
        <v>0</v>
      </c>
      <c r="E116" s="166">
        <v>0</v>
      </c>
      <c r="F116" s="411"/>
      <c r="G116" s="169">
        <v>0</v>
      </c>
      <c r="H116" s="172">
        <v>0</v>
      </c>
      <c r="I116" s="175">
        <v>0</v>
      </c>
      <c r="J116" s="409"/>
    </row>
    <row r="117" spans="1:10">
      <c r="A117" s="407" t="s">
        <v>69</v>
      </c>
      <c r="B117" s="410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2" t="str">
        <f>'LTE TRX route'!B26</f>
        <v>LTE_BandNone</v>
      </c>
    </row>
    <row r="118" spans="1:10">
      <c r="A118" s="408"/>
      <c r="B118" s="394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09"/>
    </row>
    <row r="119" spans="1:10">
      <c r="A119" s="408"/>
      <c r="B119" s="394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09"/>
    </row>
    <row r="120" spans="1:10">
      <c r="A120" s="408"/>
      <c r="B120" s="394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09"/>
    </row>
    <row r="121" spans="1:10">
      <c r="A121" s="408"/>
      <c r="B121" s="394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09"/>
    </row>
    <row r="122" spans="1:10" ht="15.75" thickBot="1">
      <c r="A122" s="408"/>
      <c r="B122" s="394"/>
      <c r="C122" s="160">
        <v>0</v>
      </c>
      <c r="D122" s="163">
        <v>0</v>
      </c>
      <c r="E122" s="166">
        <v>0</v>
      </c>
      <c r="F122" s="411"/>
      <c r="G122" s="169">
        <v>0</v>
      </c>
      <c r="H122" s="172">
        <v>0</v>
      </c>
      <c r="I122" s="175">
        <v>0</v>
      </c>
      <c r="J122" s="413"/>
    </row>
    <row r="123" spans="1:10">
      <c r="A123" s="407" t="s">
        <v>70</v>
      </c>
      <c r="B123" s="410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2" t="str">
        <f>'LTE TRX route'!B27</f>
        <v>LTE_BandNone</v>
      </c>
    </row>
    <row r="124" spans="1:10">
      <c r="A124" s="408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09"/>
    </row>
    <row r="125" spans="1:10">
      <c r="A125" s="408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09"/>
    </row>
    <row r="126" spans="1:10">
      <c r="A126" s="408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09"/>
    </row>
    <row r="127" spans="1:10">
      <c r="A127" s="408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09"/>
    </row>
    <row r="128" spans="1:10" ht="15.75" thickBot="1">
      <c r="A128" s="408"/>
      <c r="B128" s="411"/>
      <c r="C128" s="160">
        <v>0</v>
      </c>
      <c r="D128" s="163">
        <v>0</v>
      </c>
      <c r="E128" s="166">
        <v>0</v>
      </c>
      <c r="F128" s="411"/>
      <c r="G128" s="169">
        <v>0</v>
      </c>
      <c r="H128" s="172">
        <v>0</v>
      </c>
      <c r="I128" s="175">
        <v>0</v>
      </c>
      <c r="J128" s="413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09" t="str">
        <f>'LTE TRX route'!B28</f>
        <v>LTE_BandNone</v>
      </c>
    </row>
    <row r="130" spans="1:10">
      <c r="A130" s="408"/>
      <c r="B130" s="394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09"/>
    </row>
    <row r="131" spans="1:10">
      <c r="A131" s="408"/>
      <c r="B131" s="394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09"/>
    </row>
    <row r="132" spans="1:10">
      <c r="A132" s="408"/>
      <c r="B132" s="394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09"/>
    </row>
    <row r="133" spans="1:10">
      <c r="A133" s="408"/>
      <c r="B133" s="394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09"/>
    </row>
    <row r="134" spans="1:10" ht="15.75" thickBot="1">
      <c r="A134" s="408"/>
      <c r="B134" s="394"/>
      <c r="C134" s="160">
        <v>0</v>
      </c>
      <c r="D134" s="163">
        <v>0</v>
      </c>
      <c r="E134" s="166">
        <v>0</v>
      </c>
      <c r="F134" s="411"/>
      <c r="G134" s="169">
        <v>0</v>
      </c>
      <c r="H134" s="172">
        <v>0</v>
      </c>
      <c r="I134" s="175">
        <v>0</v>
      </c>
      <c r="J134" s="413"/>
    </row>
    <row r="135" spans="1:10">
      <c r="A135" s="407" t="s">
        <v>72</v>
      </c>
      <c r="B135" s="410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09" t="str">
        <f>'LTE TRX route'!B29</f>
        <v>LTE_BandNone</v>
      </c>
    </row>
    <row r="136" spans="1:10">
      <c r="A136" s="408"/>
      <c r="B136" s="394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09"/>
    </row>
    <row r="137" spans="1:10">
      <c r="A137" s="408"/>
      <c r="B137" s="394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09"/>
    </row>
    <row r="138" spans="1:10">
      <c r="A138" s="408"/>
      <c r="B138" s="394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09"/>
    </row>
    <row r="139" spans="1:10">
      <c r="A139" s="408"/>
      <c r="B139" s="394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09"/>
    </row>
    <row r="140" spans="1:10" ht="15.75" thickBot="1">
      <c r="A140" s="408"/>
      <c r="B140" s="394"/>
      <c r="C140" s="160">
        <v>0</v>
      </c>
      <c r="D140" s="163">
        <v>0</v>
      </c>
      <c r="E140" s="166">
        <v>0</v>
      </c>
      <c r="F140" s="411"/>
      <c r="G140" s="169">
        <v>0</v>
      </c>
      <c r="H140" s="172">
        <v>0</v>
      </c>
      <c r="I140" s="175">
        <v>0</v>
      </c>
      <c r="J140" s="413"/>
    </row>
    <row r="141" spans="1:10">
      <c r="A141" s="407" t="s">
        <v>73</v>
      </c>
      <c r="B141" s="410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09" t="str">
        <f>'LTE TRX route'!B30</f>
        <v>LTE_BandNone</v>
      </c>
    </row>
    <row r="142" spans="1:10">
      <c r="A142" s="408"/>
      <c r="B142" s="394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09"/>
    </row>
    <row r="143" spans="1:10">
      <c r="A143" s="408"/>
      <c r="B143" s="394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09"/>
    </row>
    <row r="144" spans="1:10">
      <c r="A144" s="408"/>
      <c r="B144" s="394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09"/>
    </row>
    <row r="145" spans="1:10">
      <c r="A145" s="408"/>
      <c r="B145" s="394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09"/>
    </row>
    <row r="146" spans="1:10" ht="15.75" thickBot="1">
      <c r="A146" s="408"/>
      <c r="B146" s="394"/>
      <c r="C146" s="160">
        <v>0</v>
      </c>
      <c r="D146" s="163">
        <v>0</v>
      </c>
      <c r="E146" s="166">
        <v>0</v>
      </c>
      <c r="F146" s="411"/>
      <c r="G146" s="169">
        <v>0</v>
      </c>
      <c r="H146" s="172">
        <v>0</v>
      </c>
      <c r="I146" s="175">
        <v>0</v>
      </c>
      <c r="J146" s="409"/>
    </row>
    <row r="147" spans="1:10">
      <c r="A147" s="407" t="s">
        <v>74</v>
      </c>
      <c r="B147" s="410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2" t="str">
        <f>'LTE TRX route'!B31</f>
        <v>LTE_BandNone</v>
      </c>
    </row>
    <row r="148" spans="1:10">
      <c r="A148" s="408"/>
      <c r="B148" s="394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09"/>
    </row>
    <row r="149" spans="1:10">
      <c r="A149" s="408"/>
      <c r="B149" s="394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09"/>
    </row>
    <row r="150" spans="1:10">
      <c r="A150" s="408"/>
      <c r="B150" s="394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09"/>
    </row>
    <row r="151" spans="1:10">
      <c r="A151" s="408"/>
      <c r="B151" s="394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09"/>
    </row>
    <row r="152" spans="1:10" ht="15.75" thickBot="1">
      <c r="A152" s="408"/>
      <c r="B152" s="394"/>
      <c r="C152" s="160">
        <v>0</v>
      </c>
      <c r="D152" s="163">
        <v>0</v>
      </c>
      <c r="E152" s="166">
        <v>0</v>
      </c>
      <c r="F152" s="411"/>
      <c r="G152" s="169">
        <v>0</v>
      </c>
      <c r="H152" s="172">
        <v>0</v>
      </c>
      <c r="I152" s="175">
        <v>0</v>
      </c>
      <c r="J152" s="413"/>
    </row>
    <row r="153" spans="1:10">
      <c r="A153" s="407" t="s">
        <v>75</v>
      </c>
      <c r="B153" s="410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2" t="str">
        <f>'LTE TRX route'!B32</f>
        <v>LTE_BandNone</v>
      </c>
    </row>
    <row r="154" spans="1:10">
      <c r="A154" s="408"/>
      <c r="B154" s="394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09"/>
    </row>
    <row r="155" spans="1:10">
      <c r="A155" s="408"/>
      <c r="B155" s="394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09"/>
    </row>
    <row r="156" spans="1:10">
      <c r="A156" s="408"/>
      <c r="B156" s="394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09"/>
    </row>
    <row r="157" spans="1:10">
      <c r="A157" s="408"/>
      <c r="B157" s="394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09"/>
    </row>
    <row r="158" spans="1:10" ht="15.75" thickBot="1">
      <c r="A158" s="408"/>
      <c r="B158" s="394"/>
      <c r="C158" s="160">
        <v>0</v>
      </c>
      <c r="D158" s="163">
        <v>0</v>
      </c>
      <c r="E158" s="166">
        <v>0</v>
      </c>
      <c r="F158" s="411"/>
      <c r="G158" s="169">
        <v>0</v>
      </c>
      <c r="H158" s="172">
        <v>0</v>
      </c>
      <c r="I158" s="175">
        <v>0</v>
      </c>
      <c r="J158" s="413"/>
    </row>
    <row r="159" spans="1:10">
      <c r="A159" s="407" t="s">
        <v>76</v>
      </c>
      <c r="B159" s="410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2" t="str">
        <f>'LTE TRX route'!B33</f>
        <v>LTE_BandNone</v>
      </c>
    </row>
    <row r="160" spans="1:10">
      <c r="A160" s="408"/>
      <c r="B160" s="394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09"/>
    </row>
    <row r="161" spans="1:11">
      <c r="A161" s="408"/>
      <c r="B161" s="394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09"/>
    </row>
    <row r="162" spans="1:11">
      <c r="A162" s="408"/>
      <c r="B162" s="394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09"/>
    </row>
    <row r="163" spans="1:11">
      <c r="A163" s="408"/>
      <c r="B163" s="394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09"/>
    </row>
    <row r="164" spans="1:11" ht="15.75" thickBot="1">
      <c r="A164" s="408"/>
      <c r="B164" s="394"/>
      <c r="C164" s="160">
        <v>0</v>
      </c>
      <c r="D164" s="163">
        <v>0</v>
      </c>
      <c r="E164" s="166">
        <v>0</v>
      </c>
      <c r="F164" s="411"/>
      <c r="G164" s="169">
        <v>0</v>
      </c>
      <c r="H164" s="172">
        <v>0</v>
      </c>
      <c r="I164" s="175">
        <v>0</v>
      </c>
      <c r="J164" s="413"/>
    </row>
    <row r="165" spans="1:11">
      <c r="A165" s="407" t="s">
        <v>77</v>
      </c>
      <c r="B165" s="410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2" t="str">
        <f>'LTE TRX route'!B34</f>
        <v>LTE_BandNone</v>
      </c>
    </row>
    <row r="166" spans="1:11">
      <c r="A166" s="408"/>
      <c r="B166" s="394"/>
      <c r="C166" s="159">
        <v>0</v>
      </c>
      <c r="D166" s="162">
        <v>0</v>
      </c>
      <c r="E166" s="165">
        <v>0</v>
      </c>
      <c r="F166" s="394"/>
      <c r="G166" s="168">
        <v>0</v>
      </c>
      <c r="H166" s="171">
        <v>0</v>
      </c>
      <c r="I166" s="174">
        <v>0</v>
      </c>
      <c r="J166" s="409"/>
    </row>
    <row r="167" spans="1:11">
      <c r="A167" s="408"/>
      <c r="B167" s="394"/>
      <c r="C167" s="159">
        <v>0</v>
      </c>
      <c r="D167" s="162">
        <v>0</v>
      </c>
      <c r="E167" s="165">
        <v>0</v>
      </c>
      <c r="F167" s="394"/>
      <c r="G167" s="168">
        <v>0</v>
      </c>
      <c r="H167" s="171">
        <v>0</v>
      </c>
      <c r="I167" s="174">
        <v>0</v>
      </c>
      <c r="J167" s="409"/>
    </row>
    <row r="168" spans="1:11">
      <c r="A168" s="408"/>
      <c r="B168" s="394"/>
      <c r="C168" s="159">
        <v>0</v>
      </c>
      <c r="D168" s="162">
        <v>0</v>
      </c>
      <c r="E168" s="165">
        <v>0</v>
      </c>
      <c r="F168" s="394"/>
      <c r="G168" s="168">
        <v>0</v>
      </c>
      <c r="H168" s="171">
        <v>0</v>
      </c>
      <c r="I168" s="174">
        <v>0</v>
      </c>
      <c r="J168" s="409"/>
    </row>
    <row r="169" spans="1:11">
      <c r="A169" s="408"/>
      <c r="B169" s="394"/>
      <c r="C169" s="159">
        <v>0</v>
      </c>
      <c r="D169" s="162">
        <v>0</v>
      </c>
      <c r="E169" s="165">
        <v>0</v>
      </c>
      <c r="F169" s="394"/>
      <c r="G169" s="168">
        <v>0</v>
      </c>
      <c r="H169" s="171">
        <v>0</v>
      </c>
      <c r="I169" s="174">
        <v>0</v>
      </c>
      <c r="J169" s="409"/>
    </row>
    <row r="170" spans="1:11" ht="15.75" thickBot="1">
      <c r="A170" s="408"/>
      <c r="B170" s="394"/>
      <c r="C170" s="161">
        <v>0</v>
      </c>
      <c r="D170" s="164">
        <v>0</v>
      </c>
      <c r="E170" s="167">
        <v>0</v>
      </c>
      <c r="F170" s="394"/>
      <c r="G170" s="170">
        <v>0</v>
      </c>
      <c r="H170" s="173">
        <v>0</v>
      </c>
      <c r="I170" s="176">
        <v>0</v>
      </c>
      <c r="J170" s="413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0" t="s">
        <v>973</v>
      </c>
      <c r="C172" s="177">
        <v>0</v>
      </c>
      <c r="D172" s="179">
        <v>0</v>
      </c>
      <c r="E172" s="181">
        <v>0</v>
      </c>
      <c r="F172" s="410" t="s">
        <v>973</v>
      </c>
      <c r="G172" s="183">
        <v>0</v>
      </c>
      <c r="H172" s="185">
        <v>0</v>
      </c>
      <c r="I172" s="187">
        <v>0</v>
      </c>
      <c r="J172" s="409" t="s">
        <v>15</v>
      </c>
    </row>
    <row r="173" spans="1:11">
      <c r="A173" s="408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09"/>
    </row>
    <row r="174" spans="1:11">
      <c r="A174" s="408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09"/>
    </row>
    <row r="175" spans="1:11">
      <c r="A175" s="408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09"/>
    </row>
    <row r="176" spans="1:11">
      <c r="A176" s="408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09"/>
    </row>
    <row r="177" spans="1:10" ht="15.75" thickBot="1">
      <c r="A177" s="408"/>
      <c r="B177" s="411"/>
      <c r="C177" s="178">
        <v>0</v>
      </c>
      <c r="D177" s="180">
        <v>0</v>
      </c>
      <c r="E177" s="182">
        <v>0</v>
      </c>
      <c r="F177" s="411"/>
      <c r="G177" s="184">
        <v>0</v>
      </c>
      <c r="H177" s="186">
        <v>0</v>
      </c>
      <c r="I177" s="188">
        <v>0</v>
      </c>
      <c r="J177" s="409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2" t="s">
        <v>15</v>
      </c>
    </row>
    <row r="179" spans="1:10">
      <c r="A179" s="408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09"/>
    </row>
    <row r="180" spans="1:10">
      <c r="A180" s="408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09"/>
    </row>
    <row r="181" spans="1:10">
      <c r="A181" s="408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09"/>
    </row>
    <row r="182" spans="1:10">
      <c r="A182" s="408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09"/>
    </row>
    <row r="183" spans="1:10" ht="15.75" thickBot="1">
      <c r="A183" s="408"/>
      <c r="B183" s="411"/>
      <c r="C183" s="178">
        <v>0</v>
      </c>
      <c r="D183" s="180">
        <v>0</v>
      </c>
      <c r="E183" s="182">
        <v>0</v>
      </c>
      <c r="F183" s="411"/>
      <c r="G183" s="184">
        <v>0</v>
      </c>
      <c r="H183" s="186">
        <v>0</v>
      </c>
      <c r="I183" s="188">
        <v>0</v>
      </c>
      <c r="J183" s="413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2" t="s">
        <v>15</v>
      </c>
    </row>
    <row r="185" spans="1:10">
      <c r="A185" s="408"/>
      <c r="B185" s="394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09"/>
    </row>
    <row r="186" spans="1:10">
      <c r="A186" s="408"/>
      <c r="B186" s="394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09"/>
    </row>
    <row r="187" spans="1:10">
      <c r="A187" s="408"/>
      <c r="B187" s="394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09"/>
    </row>
    <row r="188" spans="1:10">
      <c r="A188" s="408"/>
      <c r="B188" s="394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09"/>
    </row>
    <row r="189" spans="1:10" ht="15.75" thickBot="1">
      <c r="A189" s="408"/>
      <c r="B189" s="394"/>
      <c r="C189" s="178">
        <v>0</v>
      </c>
      <c r="D189" s="180">
        <v>0</v>
      </c>
      <c r="E189" s="182">
        <v>0</v>
      </c>
      <c r="F189" s="411"/>
      <c r="G189" s="184">
        <v>0</v>
      </c>
      <c r="H189" s="186">
        <v>0</v>
      </c>
      <c r="I189" s="188">
        <v>0</v>
      </c>
      <c r="J189" s="413"/>
    </row>
    <row r="190" spans="1:10">
      <c r="A190" s="407" t="s">
        <v>435</v>
      </c>
      <c r="B190" s="410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2" t="s">
        <v>15</v>
      </c>
    </row>
    <row r="191" spans="1:10">
      <c r="A191" s="408"/>
      <c r="B191" s="394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09"/>
    </row>
    <row r="192" spans="1:10">
      <c r="A192" s="408"/>
      <c r="B192" s="394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09"/>
    </row>
    <row r="193" spans="1:10">
      <c r="A193" s="408"/>
      <c r="B193" s="394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09"/>
    </row>
    <row r="194" spans="1:10">
      <c r="A194" s="408"/>
      <c r="B194" s="394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09"/>
    </row>
    <row r="195" spans="1:10" ht="15.75" thickBot="1">
      <c r="A195" s="408"/>
      <c r="B195" s="394"/>
      <c r="C195" s="178">
        <v>0</v>
      </c>
      <c r="D195" s="180">
        <v>0</v>
      </c>
      <c r="E195" s="182">
        <v>0</v>
      </c>
      <c r="F195" s="411"/>
      <c r="G195" s="184">
        <v>0</v>
      </c>
      <c r="H195" s="186">
        <v>0</v>
      </c>
      <c r="I195" s="188">
        <v>0</v>
      </c>
      <c r="J195" s="413"/>
    </row>
    <row r="196" spans="1:10">
      <c r="A196" s="407" t="s">
        <v>436</v>
      </c>
      <c r="B196" s="410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2" t="s">
        <v>15</v>
      </c>
    </row>
    <row r="197" spans="1:10">
      <c r="A197" s="408"/>
      <c r="B197" s="394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09"/>
    </row>
    <row r="198" spans="1:10">
      <c r="A198" s="408"/>
      <c r="B198" s="394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09"/>
    </row>
    <row r="199" spans="1:10">
      <c r="A199" s="408"/>
      <c r="B199" s="394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09"/>
    </row>
    <row r="200" spans="1:10">
      <c r="A200" s="408"/>
      <c r="B200" s="394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09"/>
    </row>
    <row r="201" spans="1:10" ht="15.75" thickBot="1">
      <c r="A201" s="408"/>
      <c r="B201" s="394"/>
      <c r="C201" s="178">
        <v>0</v>
      </c>
      <c r="D201" s="180">
        <v>0</v>
      </c>
      <c r="E201" s="182">
        <v>0</v>
      </c>
      <c r="F201" s="411"/>
      <c r="G201" s="184">
        <v>0</v>
      </c>
      <c r="H201" s="186">
        <v>0</v>
      </c>
      <c r="I201" s="188">
        <v>0</v>
      </c>
      <c r="J201" s="413"/>
    </row>
    <row r="202" spans="1:10">
      <c r="A202" s="407" t="s">
        <v>437</v>
      </c>
      <c r="B202" s="410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09" t="s">
        <v>15</v>
      </c>
    </row>
    <row r="203" spans="1:10">
      <c r="A203" s="408"/>
      <c r="B203" s="394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09"/>
    </row>
    <row r="204" spans="1:10">
      <c r="A204" s="408"/>
      <c r="B204" s="394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09"/>
    </row>
    <row r="205" spans="1:10">
      <c r="A205" s="408"/>
      <c r="B205" s="394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09"/>
    </row>
    <row r="206" spans="1:10">
      <c r="A206" s="408"/>
      <c r="B206" s="394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09"/>
    </row>
    <row r="207" spans="1:10" ht="15.75" thickBot="1">
      <c r="A207" s="408"/>
      <c r="B207" s="394"/>
      <c r="C207" s="178">
        <v>0</v>
      </c>
      <c r="D207" s="180">
        <v>0</v>
      </c>
      <c r="E207" s="182">
        <v>0</v>
      </c>
      <c r="F207" s="411"/>
      <c r="G207" s="184">
        <v>0</v>
      </c>
      <c r="H207" s="186">
        <v>0</v>
      </c>
      <c r="I207" s="188">
        <v>0</v>
      </c>
      <c r="J207" s="413"/>
    </row>
    <row r="208" spans="1:10">
      <c r="A208" s="407" t="s">
        <v>438</v>
      </c>
      <c r="B208" s="410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09" t="s">
        <v>15</v>
      </c>
    </row>
    <row r="209" spans="1:10">
      <c r="A209" s="408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09"/>
    </row>
    <row r="210" spans="1:10">
      <c r="A210" s="408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09"/>
    </row>
    <row r="211" spans="1:10">
      <c r="A211" s="408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09"/>
    </row>
    <row r="212" spans="1:10">
      <c r="A212" s="408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09"/>
    </row>
    <row r="213" spans="1:10" ht="15.75" thickBot="1">
      <c r="A213" s="408"/>
      <c r="B213" s="411"/>
      <c r="C213" s="178">
        <v>0</v>
      </c>
      <c r="D213" s="180">
        <v>0</v>
      </c>
      <c r="E213" s="182">
        <v>0</v>
      </c>
      <c r="F213" s="411"/>
      <c r="G213" s="184">
        <v>0</v>
      </c>
      <c r="H213" s="186">
        <v>0</v>
      </c>
      <c r="I213" s="188">
        <v>0</v>
      </c>
      <c r="J213" s="413"/>
    </row>
    <row r="214" spans="1:10">
      <c r="A214" s="407" t="s">
        <v>439</v>
      </c>
      <c r="B214" s="410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09" t="s">
        <v>15</v>
      </c>
    </row>
    <row r="215" spans="1:10">
      <c r="A215" s="408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09"/>
    </row>
    <row r="216" spans="1:10">
      <c r="A216" s="408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09"/>
    </row>
    <row r="217" spans="1:10">
      <c r="A217" s="408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09"/>
    </row>
    <row r="218" spans="1:10">
      <c r="A218" s="408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09"/>
    </row>
    <row r="219" spans="1:10" ht="15.75" thickBot="1">
      <c r="A219" s="408"/>
      <c r="B219" s="411"/>
      <c r="C219" s="178">
        <v>0</v>
      </c>
      <c r="D219" s="180">
        <v>0</v>
      </c>
      <c r="E219" s="182">
        <v>0</v>
      </c>
      <c r="F219" s="411"/>
      <c r="G219" s="184">
        <v>0</v>
      </c>
      <c r="H219" s="186">
        <v>0</v>
      </c>
      <c r="I219" s="188">
        <v>0</v>
      </c>
      <c r="J219" s="413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09" t="s">
        <v>15</v>
      </c>
    </row>
    <row r="221" spans="1:10">
      <c r="A221" s="408"/>
      <c r="B221" s="394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09"/>
    </row>
    <row r="222" spans="1:10">
      <c r="A222" s="408"/>
      <c r="B222" s="394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09"/>
    </row>
    <row r="223" spans="1:10">
      <c r="A223" s="408"/>
      <c r="B223" s="394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09"/>
    </row>
    <row r="224" spans="1:10">
      <c r="A224" s="408"/>
      <c r="B224" s="394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09"/>
    </row>
    <row r="225" spans="1:10" ht="15.75" thickBot="1">
      <c r="A225" s="408"/>
      <c r="B225" s="394"/>
      <c r="C225" s="178">
        <v>0</v>
      </c>
      <c r="D225" s="180">
        <v>0</v>
      </c>
      <c r="E225" s="182">
        <v>0</v>
      </c>
      <c r="F225" s="411"/>
      <c r="G225" s="184">
        <v>0</v>
      </c>
      <c r="H225" s="186">
        <v>0</v>
      </c>
      <c r="I225" s="188">
        <v>0</v>
      </c>
      <c r="J225" s="413"/>
    </row>
    <row r="226" spans="1:10">
      <c r="A226" s="407" t="s">
        <v>441</v>
      </c>
      <c r="B226" s="410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09" t="s">
        <v>15</v>
      </c>
    </row>
    <row r="227" spans="1:10">
      <c r="A227" s="408"/>
      <c r="B227" s="394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09"/>
    </row>
    <row r="228" spans="1:10">
      <c r="A228" s="408"/>
      <c r="B228" s="394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09"/>
    </row>
    <row r="229" spans="1:10">
      <c r="A229" s="408"/>
      <c r="B229" s="394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09"/>
    </row>
    <row r="230" spans="1:10">
      <c r="A230" s="408"/>
      <c r="B230" s="394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09"/>
    </row>
    <row r="231" spans="1:10" ht="15.75" thickBot="1">
      <c r="A231" s="408"/>
      <c r="B231" s="394"/>
      <c r="C231" s="178">
        <v>0</v>
      </c>
      <c r="D231" s="180">
        <v>0</v>
      </c>
      <c r="E231" s="182">
        <v>0</v>
      </c>
      <c r="F231" s="411"/>
      <c r="G231" s="184">
        <v>0</v>
      </c>
      <c r="H231" s="186">
        <v>0</v>
      </c>
      <c r="I231" s="188">
        <v>0</v>
      </c>
      <c r="J231" s="409"/>
    </row>
    <row r="232" spans="1:10">
      <c r="A232" s="407" t="s">
        <v>442</v>
      </c>
      <c r="B232" s="410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2" t="s">
        <v>15</v>
      </c>
    </row>
    <row r="233" spans="1:10">
      <c r="A233" s="408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09"/>
    </row>
    <row r="234" spans="1:10">
      <c r="A234" s="408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09"/>
    </row>
    <row r="235" spans="1:10">
      <c r="A235" s="408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09"/>
    </row>
    <row r="236" spans="1:10">
      <c r="A236" s="408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09"/>
    </row>
    <row r="237" spans="1:10" ht="15.75" thickBot="1">
      <c r="A237" s="408"/>
      <c r="B237" s="411"/>
      <c r="C237" s="178">
        <v>0</v>
      </c>
      <c r="D237" s="180">
        <v>0</v>
      </c>
      <c r="E237" s="182">
        <v>0</v>
      </c>
      <c r="F237" s="411"/>
      <c r="G237" s="184">
        <v>0</v>
      </c>
      <c r="H237" s="186">
        <v>0</v>
      </c>
      <c r="I237" s="188">
        <v>0</v>
      </c>
      <c r="J237" s="413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2" t="s">
        <v>15</v>
      </c>
    </row>
    <row r="239" spans="1:10">
      <c r="A239" s="408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09"/>
    </row>
    <row r="240" spans="1:10">
      <c r="A240" s="408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09"/>
    </row>
    <row r="241" spans="1:10">
      <c r="A241" s="408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09"/>
    </row>
    <row r="242" spans="1:10">
      <c r="A242" s="408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09"/>
    </row>
    <row r="243" spans="1:10" ht="15.75" thickBot="1">
      <c r="A243" s="408"/>
      <c r="B243" s="411"/>
      <c r="C243" s="178">
        <v>0</v>
      </c>
      <c r="D243" s="180">
        <v>0</v>
      </c>
      <c r="E243" s="182">
        <v>0</v>
      </c>
      <c r="F243" s="411"/>
      <c r="G243" s="184">
        <v>0</v>
      </c>
      <c r="H243" s="186">
        <v>0</v>
      </c>
      <c r="I243" s="188">
        <v>0</v>
      </c>
      <c r="J243" s="413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2" t="s">
        <v>15</v>
      </c>
    </row>
    <row r="245" spans="1:10">
      <c r="A245" s="408"/>
      <c r="B245" s="394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09"/>
    </row>
    <row r="246" spans="1:10">
      <c r="A246" s="408"/>
      <c r="B246" s="394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09"/>
    </row>
    <row r="247" spans="1:10">
      <c r="A247" s="408"/>
      <c r="B247" s="394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09"/>
    </row>
    <row r="248" spans="1:10">
      <c r="A248" s="408"/>
      <c r="B248" s="394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09"/>
    </row>
    <row r="249" spans="1:10" ht="15.75" thickBot="1">
      <c r="A249" s="408"/>
      <c r="B249" s="394"/>
      <c r="C249" s="178">
        <v>0</v>
      </c>
      <c r="D249" s="180">
        <v>0</v>
      </c>
      <c r="E249" s="182">
        <v>0</v>
      </c>
      <c r="F249" s="411"/>
      <c r="G249" s="184">
        <v>0</v>
      </c>
      <c r="H249" s="186">
        <v>0</v>
      </c>
      <c r="I249" s="188">
        <v>0</v>
      </c>
      <c r="J249" s="413"/>
    </row>
    <row r="250" spans="1:10">
      <c r="A250" s="407" t="s">
        <v>445</v>
      </c>
      <c r="B250" s="410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2" t="s">
        <v>15</v>
      </c>
    </row>
    <row r="251" spans="1:10">
      <c r="A251" s="408"/>
      <c r="B251" s="394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09"/>
    </row>
    <row r="252" spans="1:10">
      <c r="A252" s="408"/>
      <c r="B252" s="394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09"/>
    </row>
    <row r="253" spans="1:10">
      <c r="A253" s="408"/>
      <c r="B253" s="394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09"/>
    </row>
    <row r="254" spans="1:10">
      <c r="A254" s="408"/>
      <c r="B254" s="394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09"/>
    </row>
    <row r="255" spans="1:10" ht="15.75" thickBot="1">
      <c r="A255" s="408"/>
      <c r="B255" s="394"/>
      <c r="C255" s="178">
        <v>0</v>
      </c>
      <c r="D255" s="180">
        <v>0</v>
      </c>
      <c r="E255" s="182">
        <v>0</v>
      </c>
      <c r="F255" s="411"/>
      <c r="G255" s="184">
        <v>0</v>
      </c>
      <c r="H255" s="186">
        <v>0</v>
      </c>
      <c r="I255" s="188">
        <v>0</v>
      </c>
      <c r="J255" s="413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0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2" t="str">
        <f>LTE_Band_filter!B5</f>
        <v>LTE_BandNone</v>
      </c>
    </row>
    <row r="258" spans="1:10">
      <c r="A258" s="408"/>
      <c r="B258" s="394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09"/>
    </row>
    <row r="259" spans="1:10">
      <c r="A259" s="408"/>
      <c r="B259" s="394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09"/>
    </row>
    <row r="260" spans="1:10">
      <c r="A260" s="408"/>
      <c r="B260" s="394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09"/>
    </row>
    <row r="261" spans="1:10">
      <c r="A261" s="408"/>
      <c r="B261" s="394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09"/>
    </row>
    <row r="262" spans="1:10" ht="15.75" thickBot="1">
      <c r="A262" s="408"/>
      <c r="B262" s="394"/>
      <c r="C262" s="190">
        <v>0</v>
      </c>
      <c r="D262" s="192">
        <v>0</v>
      </c>
      <c r="E262" s="194">
        <v>0</v>
      </c>
      <c r="F262" s="411"/>
      <c r="G262" s="196">
        <v>0</v>
      </c>
      <c r="H262" s="198">
        <v>0</v>
      </c>
      <c r="I262" s="200">
        <v>0</v>
      </c>
      <c r="J262" s="413"/>
    </row>
    <row r="263" spans="1:10">
      <c r="A263" s="407" t="s">
        <v>43</v>
      </c>
      <c r="B263" s="410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2" t="str">
        <f>LTE_Band_filter!B6</f>
        <v>LTE_BandNone</v>
      </c>
    </row>
    <row r="264" spans="1:10">
      <c r="A264" s="408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09"/>
    </row>
    <row r="265" spans="1:10">
      <c r="A265" s="408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09"/>
    </row>
    <row r="266" spans="1:10">
      <c r="A266" s="408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09"/>
    </row>
    <row r="267" spans="1:10">
      <c r="A267" s="408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09"/>
    </row>
    <row r="268" spans="1:10" ht="15.75" thickBot="1">
      <c r="A268" s="408"/>
      <c r="B268" s="411"/>
      <c r="C268" s="190">
        <v>0</v>
      </c>
      <c r="D268" s="192">
        <v>0</v>
      </c>
      <c r="E268" s="194">
        <v>0</v>
      </c>
      <c r="F268" s="411"/>
      <c r="G268" s="196">
        <v>0</v>
      </c>
      <c r="H268" s="198">
        <v>0</v>
      </c>
      <c r="I268" s="200">
        <v>0</v>
      </c>
      <c r="J268" s="413"/>
    </row>
    <row r="269" spans="1:10">
      <c r="A269" s="407" t="s">
        <v>44</v>
      </c>
      <c r="B269" s="410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2" t="str">
        <f>LTE_Band_filter!B7</f>
        <v>LTE_BandNone</v>
      </c>
    </row>
    <row r="270" spans="1:10">
      <c r="A270" s="408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09"/>
    </row>
    <row r="271" spans="1:10">
      <c r="A271" s="408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09"/>
    </row>
    <row r="272" spans="1:10">
      <c r="A272" s="408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09"/>
    </row>
    <row r="273" spans="1:10">
      <c r="A273" s="408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09"/>
    </row>
    <row r="274" spans="1:10" ht="15.75" thickBot="1">
      <c r="A274" s="408"/>
      <c r="B274" s="411"/>
      <c r="C274" s="190">
        <v>0</v>
      </c>
      <c r="D274" s="192">
        <v>0</v>
      </c>
      <c r="E274" s="194">
        <v>0</v>
      </c>
      <c r="F274" s="411"/>
      <c r="G274" s="196">
        <v>0</v>
      </c>
      <c r="H274" s="198">
        <v>0</v>
      </c>
      <c r="I274" s="200">
        <v>0</v>
      </c>
      <c r="J274" s="413"/>
    </row>
    <row r="275" spans="1:10">
      <c r="A275" s="407" t="s">
        <v>45</v>
      </c>
      <c r="B275" s="410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2" t="str">
        <f>LTE_Band_filter!B8</f>
        <v>LTE_BandNone</v>
      </c>
    </row>
    <row r="276" spans="1:10">
      <c r="A276" s="408"/>
      <c r="B276" s="394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09"/>
    </row>
    <row r="277" spans="1:10">
      <c r="A277" s="408"/>
      <c r="B277" s="394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09"/>
    </row>
    <row r="278" spans="1:10">
      <c r="A278" s="408"/>
      <c r="B278" s="394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09"/>
    </row>
    <row r="279" spans="1:10">
      <c r="A279" s="408"/>
      <c r="B279" s="394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09"/>
    </row>
    <row r="280" spans="1:10" ht="15.75" thickBot="1">
      <c r="A280" s="408"/>
      <c r="B280" s="394"/>
      <c r="C280" s="190">
        <v>0</v>
      </c>
      <c r="D280" s="192">
        <v>0</v>
      </c>
      <c r="E280" s="194">
        <v>0</v>
      </c>
      <c r="F280" s="411"/>
      <c r="G280" s="196">
        <v>0</v>
      </c>
      <c r="H280" s="198">
        <v>0</v>
      </c>
      <c r="I280" s="200">
        <v>0</v>
      </c>
      <c r="J280" s="413"/>
    </row>
    <row r="281" spans="1:10">
      <c r="A281" s="407" t="s">
        <v>46</v>
      </c>
      <c r="B281" s="410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2" t="str">
        <f>LTE_Band_filter!B9</f>
        <v>LTE_BandNone</v>
      </c>
    </row>
    <row r="282" spans="1:10">
      <c r="A282" s="414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09"/>
    </row>
    <row r="283" spans="1:10">
      <c r="A283" s="414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09"/>
    </row>
    <row r="284" spans="1:10">
      <c r="A284" s="414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09"/>
    </row>
    <row r="285" spans="1:10">
      <c r="A285" s="414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09"/>
    </row>
    <row r="286" spans="1:10" ht="15.75" thickBot="1">
      <c r="A286" s="415"/>
      <c r="B286" s="411"/>
      <c r="C286" s="190">
        <v>0</v>
      </c>
      <c r="D286" s="192">
        <v>0</v>
      </c>
      <c r="E286" s="194">
        <v>0</v>
      </c>
      <c r="F286" s="411"/>
      <c r="G286" s="196">
        <v>0</v>
      </c>
      <c r="H286" s="198">
        <v>0</v>
      </c>
      <c r="I286" s="200">
        <v>0</v>
      </c>
      <c r="J286" s="413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1466</v>
      </c>
      <c r="B290" s="373"/>
      <c r="C290" s="373"/>
      <c r="D290" s="373"/>
    </row>
    <row r="291" spans="1:4" ht="90.75" thickBot="1">
      <c r="A291" s="374" t="s">
        <v>1467</v>
      </c>
      <c r="B291" s="374" t="s">
        <v>1468</v>
      </c>
      <c r="C291" s="375" t="s">
        <v>1469</v>
      </c>
      <c r="D291" s="373"/>
    </row>
    <row r="292" spans="1:4">
      <c r="A292" s="376" t="s">
        <v>10</v>
      </c>
      <c r="B292" s="377">
        <v>5</v>
      </c>
      <c r="C292" s="377" t="s">
        <v>1470</v>
      </c>
      <c r="D292" s="378" t="s">
        <v>1471</v>
      </c>
    </row>
    <row r="293" spans="1:4">
      <c r="A293" s="379" t="s">
        <v>26</v>
      </c>
      <c r="B293" s="380">
        <v>17</v>
      </c>
      <c r="C293" s="380" t="s">
        <v>1470</v>
      </c>
      <c r="D293" s="381" t="s">
        <v>1472</v>
      </c>
    </row>
    <row r="294" spans="1:4">
      <c r="A294" s="379" t="s">
        <v>15</v>
      </c>
      <c r="B294" s="380">
        <v>0</v>
      </c>
      <c r="C294" s="380">
        <v>0</v>
      </c>
      <c r="D294" s="381" t="s">
        <v>1473</v>
      </c>
    </row>
    <row r="295" spans="1:4">
      <c r="A295" s="379" t="s">
        <v>15</v>
      </c>
      <c r="B295" s="380">
        <v>0</v>
      </c>
      <c r="C295" s="380">
        <v>0</v>
      </c>
      <c r="D295" s="381" t="s">
        <v>1474</v>
      </c>
    </row>
    <row r="296" spans="1:4">
      <c r="A296" s="379" t="s">
        <v>15</v>
      </c>
      <c r="B296" s="380">
        <v>0</v>
      </c>
      <c r="C296" s="380">
        <v>0</v>
      </c>
      <c r="D296" s="381" t="s">
        <v>1475</v>
      </c>
    </row>
    <row r="297" spans="1:4">
      <c r="A297" s="379" t="s">
        <v>15</v>
      </c>
      <c r="B297" s="380">
        <v>0</v>
      </c>
      <c r="C297" s="380">
        <v>0</v>
      </c>
      <c r="D297" s="381" t="s">
        <v>1476</v>
      </c>
    </row>
    <row r="298" spans="1:4">
      <c r="A298" s="379" t="s">
        <v>15</v>
      </c>
      <c r="B298" s="380">
        <v>0</v>
      </c>
      <c r="C298" s="380">
        <v>0</v>
      </c>
      <c r="D298" s="381" t="s">
        <v>1477</v>
      </c>
    </row>
    <row r="299" spans="1:4">
      <c r="A299" s="379" t="s">
        <v>15</v>
      </c>
      <c r="B299" s="380">
        <v>0</v>
      </c>
      <c r="C299" s="380">
        <v>0</v>
      </c>
      <c r="D299" s="381" t="s">
        <v>1478</v>
      </c>
    </row>
    <row r="300" spans="1:4">
      <c r="A300" s="379" t="s">
        <v>15</v>
      </c>
      <c r="B300" s="380">
        <v>0</v>
      </c>
      <c r="C300" s="380">
        <v>0</v>
      </c>
      <c r="D300" s="381" t="s">
        <v>1479</v>
      </c>
    </row>
    <row r="301" spans="1:4">
      <c r="A301" s="379" t="s">
        <v>15</v>
      </c>
      <c r="B301" s="380">
        <v>0</v>
      </c>
      <c r="C301" s="380">
        <v>0</v>
      </c>
      <c r="D301" s="381" t="s">
        <v>1480</v>
      </c>
    </row>
    <row r="302" spans="1:4">
      <c r="A302" s="379" t="s">
        <v>15</v>
      </c>
      <c r="B302" s="380">
        <v>0</v>
      </c>
      <c r="C302" s="380">
        <v>0</v>
      </c>
      <c r="D302" s="381" t="s">
        <v>1481</v>
      </c>
    </row>
    <row r="303" spans="1:4">
      <c r="A303" s="379" t="s">
        <v>15</v>
      </c>
      <c r="B303" s="380">
        <v>0</v>
      </c>
      <c r="C303" s="380">
        <v>0</v>
      </c>
      <c r="D303" s="381" t="s">
        <v>1482</v>
      </c>
    </row>
    <row r="304" spans="1:4">
      <c r="A304" s="379" t="s">
        <v>15</v>
      </c>
      <c r="B304" s="380">
        <v>0</v>
      </c>
      <c r="C304" s="380">
        <v>0</v>
      </c>
      <c r="D304" s="381" t="s">
        <v>1483</v>
      </c>
    </row>
    <row r="305" spans="1:4">
      <c r="A305" s="379" t="s">
        <v>15</v>
      </c>
      <c r="B305" s="380">
        <v>0</v>
      </c>
      <c r="C305" s="380">
        <v>0</v>
      </c>
      <c r="D305" s="381" t="s">
        <v>1484</v>
      </c>
    </row>
    <row r="306" spans="1:4">
      <c r="A306" s="379" t="s">
        <v>15</v>
      </c>
      <c r="B306" s="380">
        <v>0</v>
      </c>
      <c r="C306" s="380">
        <v>0</v>
      </c>
      <c r="D306" s="381" t="s">
        <v>1485</v>
      </c>
    </row>
    <row r="307" spans="1:4">
      <c r="A307" s="379" t="s">
        <v>15</v>
      </c>
      <c r="B307" s="380">
        <v>0</v>
      </c>
      <c r="C307" s="380">
        <v>0</v>
      </c>
      <c r="D307" s="381" t="s">
        <v>1486</v>
      </c>
    </row>
    <row r="308" spans="1:4">
      <c r="A308" s="379" t="s">
        <v>15</v>
      </c>
      <c r="B308" s="380">
        <v>0</v>
      </c>
      <c r="C308" s="380">
        <v>0</v>
      </c>
      <c r="D308" s="381" t="s">
        <v>1487</v>
      </c>
    </row>
    <row r="309" spans="1:4">
      <c r="A309" s="379" t="s">
        <v>15</v>
      </c>
      <c r="B309" s="380">
        <v>0</v>
      </c>
      <c r="C309" s="380">
        <v>0</v>
      </c>
      <c r="D309" s="381" t="s">
        <v>1488</v>
      </c>
    </row>
    <row r="310" spans="1:4">
      <c r="A310" s="379" t="s">
        <v>15</v>
      </c>
      <c r="B310" s="380">
        <v>0</v>
      </c>
      <c r="C310" s="380">
        <v>0</v>
      </c>
      <c r="D310" s="381" t="s">
        <v>1489</v>
      </c>
    </row>
    <row r="311" spans="1:4">
      <c r="A311" s="379" t="s">
        <v>15</v>
      </c>
      <c r="B311" s="380">
        <v>0</v>
      </c>
      <c r="C311" s="380">
        <v>0</v>
      </c>
      <c r="D311" s="381" t="s">
        <v>1490</v>
      </c>
    </row>
    <row r="312" spans="1:4">
      <c r="A312" s="379" t="s">
        <v>15</v>
      </c>
      <c r="B312" s="380">
        <v>0</v>
      </c>
      <c r="C312" s="380">
        <v>0</v>
      </c>
      <c r="D312" s="381" t="s">
        <v>1491</v>
      </c>
    </row>
    <row r="313" spans="1:4">
      <c r="A313" s="379" t="s">
        <v>15</v>
      </c>
      <c r="B313" s="380">
        <v>0</v>
      </c>
      <c r="C313" s="380">
        <v>0</v>
      </c>
      <c r="D313" s="381" t="s">
        <v>1492</v>
      </c>
    </row>
    <row r="314" spans="1:4">
      <c r="A314" s="379" t="s">
        <v>15</v>
      </c>
      <c r="B314" s="380">
        <v>0</v>
      </c>
      <c r="C314" s="380">
        <v>0</v>
      </c>
      <c r="D314" s="381" t="s">
        <v>1493</v>
      </c>
    </row>
    <row r="315" spans="1:4">
      <c r="A315" s="379" t="s">
        <v>15</v>
      </c>
      <c r="B315" s="380">
        <v>0</v>
      </c>
      <c r="C315" s="380">
        <v>0</v>
      </c>
      <c r="D315" s="381" t="s">
        <v>1494</v>
      </c>
    </row>
    <row r="316" spans="1:4">
      <c r="A316" s="379" t="s">
        <v>15</v>
      </c>
      <c r="B316" s="380">
        <v>0</v>
      </c>
      <c r="C316" s="380">
        <v>0</v>
      </c>
      <c r="D316" s="381" t="s">
        <v>1495</v>
      </c>
    </row>
    <row r="317" spans="1:4">
      <c r="A317" s="379" t="s">
        <v>15</v>
      </c>
      <c r="B317" s="380">
        <v>0</v>
      </c>
      <c r="C317" s="380">
        <v>0</v>
      </c>
      <c r="D317" s="381" t="s">
        <v>1496</v>
      </c>
    </row>
    <row r="318" spans="1:4">
      <c r="A318" s="379" t="s">
        <v>15</v>
      </c>
      <c r="B318" s="380">
        <v>0</v>
      </c>
      <c r="C318" s="380">
        <v>0</v>
      </c>
      <c r="D318" s="381" t="s">
        <v>1497</v>
      </c>
    </row>
    <row r="319" spans="1:4">
      <c r="A319" s="379" t="s">
        <v>15</v>
      </c>
      <c r="B319" s="380">
        <v>0</v>
      </c>
      <c r="C319" s="380">
        <v>0</v>
      </c>
      <c r="D319" s="381" t="s">
        <v>1498</v>
      </c>
    </row>
    <row r="320" spans="1:4">
      <c r="A320" s="379" t="s">
        <v>15</v>
      </c>
      <c r="B320" s="380">
        <v>0</v>
      </c>
      <c r="C320" s="380">
        <v>0</v>
      </c>
      <c r="D320" s="381" t="s">
        <v>1499</v>
      </c>
    </row>
    <row r="321" spans="1:11">
      <c r="A321" s="379" t="s">
        <v>15</v>
      </c>
      <c r="B321" s="380">
        <v>0</v>
      </c>
      <c r="C321" s="380">
        <v>0</v>
      </c>
      <c r="D321" s="381" t="s">
        <v>1500</v>
      </c>
    </row>
    <row r="322" spans="1:11">
      <c r="A322" s="379" t="s">
        <v>15</v>
      </c>
      <c r="B322" s="380">
        <v>0</v>
      </c>
      <c r="C322" s="380">
        <v>0</v>
      </c>
      <c r="D322" s="381" t="s">
        <v>1501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1502</v>
      </c>
    </row>
    <row r="324" spans="1:11">
      <c r="A324" s="379" t="s">
        <v>15</v>
      </c>
      <c r="B324" s="380">
        <v>0</v>
      </c>
      <c r="C324" s="380">
        <v>0</v>
      </c>
      <c r="D324" s="381" t="s">
        <v>1503</v>
      </c>
    </row>
    <row r="325" spans="1:11">
      <c r="A325" s="379" t="s">
        <v>15</v>
      </c>
      <c r="B325" s="380">
        <v>0</v>
      </c>
      <c r="C325" s="380">
        <v>0</v>
      </c>
      <c r="D325" s="381" t="s">
        <v>1504</v>
      </c>
    </row>
    <row r="326" spans="1:11">
      <c r="A326" s="379" t="s">
        <v>15</v>
      </c>
      <c r="B326" s="380">
        <v>0</v>
      </c>
      <c r="C326" s="380">
        <v>0</v>
      </c>
      <c r="D326" s="381" t="s">
        <v>1505</v>
      </c>
    </row>
    <row r="327" spans="1:11">
      <c r="A327" s="379" t="s">
        <v>15</v>
      </c>
      <c r="B327" s="380">
        <v>0</v>
      </c>
      <c r="C327" s="380">
        <v>0</v>
      </c>
      <c r="D327" s="381" t="s">
        <v>1506</v>
      </c>
    </row>
    <row r="328" spans="1:11">
      <c r="A328" s="379" t="s">
        <v>15</v>
      </c>
      <c r="B328" s="380">
        <v>0</v>
      </c>
      <c r="C328" s="380">
        <v>0</v>
      </c>
      <c r="D328" s="381" t="s">
        <v>1507</v>
      </c>
    </row>
    <row r="329" spans="1:11">
      <c r="A329" s="379" t="s">
        <v>15</v>
      </c>
      <c r="B329" s="380">
        <v>0</v>
      </c>
      <c r="C329" s="380">
        <v>0</v>
      </c>
      <c r="D329" s="381" t="s">
        <v>1508</v>
      </c>
    </row>
    <row r="330" spans="1:11">
      <c r="A330" s="379" t="s">
        <v>15</v>
      </c>
      <c r="B330" s="380">
        <v>0</v>
      </c>
      <c r="C330" s="380">
        <v>0</v>
      </c>
      <c r="D330" s="381" t="s">
        <v>1509</v>
      </c>
    </row>
    <row r="331" spans="1:11">
      <c r="A331" s="379" t="s">
        <v>15</v>
      </c>
      <c r="B331" s="380">
        <v>0</v>
      </c>
      <c r="C331" s="380">
        <v>0</v>
      </c>
      <c r="D331" s="381" t="s">
        <v>1510</v>
      </c>
    </row>
    <row r="332" spans="1:11">
      <c r="A332" s="379" t="s">
        <v>15</v>
      </c>
      <c r="B332" s="380">
        <v>0</v>
      </c>
      <c r="C332" s="380">
        <v>0</v>
      </c>
      <c r="D332" s="381" t="s">
        <v>1511</v>
      </c>
    </row>
    <row r="333" spans="1:11">
      <c r="A333" s="379" t="s">
        <v>15</v>
      </c>
      <c r="B333" s="380">
        <v>0</v>
      </c>
      <c r="C333" s="380">
        <v>0</v>
      </c>
      <c r="D333" s="381" t="s">
        <v>1512</v>
      </c>
    </row>
    <row r="334" spans="1:11">
      <c r="A334" s="379" t="s">
        <v>15</v>
      </c>
      <c r="B334" s="380">
        <v>0</v>
      </c>
      <c r="C334" s="380">
        <v>0</v>
      </c>
      <c r="D334" s="381" t="s">
        <v>1513</v>
      </c>
    </row>
    <row r="335" spans="1:11">
      <c r="A335" s="379" t="s">
        <v>15</v>
      </c>
      <c r="B335" s="380">
        <v>0</v>
      </c>
      <c r="C335" s="380">
        <v>0</v>
      </c>
      <c r="D335" s="381" t="s">
        <v>1514</v>
      </c>
    </row>
    <row r="336" spans="1:11">
      <c r="A336" s="379" t="s">
        <v>15</v>
      </c>
      <c r="B336" s="380">
        <v>0</v>
      </c>
      <c r="C336" s="380">
        <v>0</v>
      </c>
      <c r="D336" s="381" t="s">
        <v>1515</v>
      </c>
    </row>
    <row r="337" spans="1:4">
      <c r="A337" s="379" t="s">
        <v>15</v>
      </c>
      <c r="B337" s="380">
        <v>0</v>
      </c>
      <c r="C337" s="380">
        <v>0</v>
      </c>
      <c r="D337" s="381" t="s">
        <v>1516</v>
      </c>
    </row>
    <row r="338" spans="1:4">
      <c r="A338" s="379" t="s">
        <v>15</v>
      </c>
      <c r="B338" s="380">
        <v>0</v>
      </c>
      <c r="C338" s="380">
        <v>0</v>
      </c>
      <c r="D338" s="381" t="s">
        <v>1517</v>
      </c>
    </row>
    <row r="339" spans="1:4">
      <c r="A339" s="379" t="s">
        <v>15</v>
      </c>
      <c r="B339" s="380">
        <v>0</v>
      </c>
      <c r="C339" s="380">
        <v>0</v>
      </c>
      <c r="D339" s="381" t="s">
        <v>1518</v>
      </c>
    </row>
    <row r="340" spans="1:4">
      <c r="A340" s="379" t="s">
        <v>15</v>
      </c>
      <c r="B340" s="380">
        <v>0</v>
      </c>
      <c r="C340" s="380">
        <v>0</v>
      </c>
      <c r="D340" s="381" t="s">
        <v>1519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1520</v>
      </c>
    </row>
  </sheetData>
  <sheetProtection algorithmName="SHA-512" hashValue="T6FxFIVLiw65E0UY1ID6gTJmxgzuCXu8Ei59qksOdA+A7164CKLunH7vU5Vm7XPZQpU6GvWBwIr6R9OTShHSCQ==" saltValue="4QnrvvW3KMvb5N/pD32JFA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3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l4YmRO3onVSTGBL59P6ibGMR8t0dDlzIpBY4Rel593HnWyJsb74o66UFzfu734epLDkLXca1E9UftIbffkRRxA==" saltValue="RwyZfnpfsKrVUan7GUSp/w==" spinCount="100000" sheet="1" objects="1" scenarios="1"/>
  <phoneticPr fontId="13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7" t="s">
        <v>1405</v>
      </c>
      <c r="E6" s="398"/>
      <c r="F6" s="397" t="s">
        <v>1406</v>
      </c>
      <c r="G6" s="398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7" t="s">
        <v>1405</v>
      </c>
      <c r="E36" s="398"/>
      <c r="F36" s="397" t="s">
        <v>1406</v>
      </c>
      <c r="G36" s="398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7" t="s">
        <v>1405</v>
      </c>
      <c r="G57" s="398"/>
      <c r="H57" s="397" t="s">
        <v>1406</v>
      </c>
      <c r="I57" s="398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6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6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6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6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6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6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6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6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6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6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6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6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6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6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6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6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6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6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6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6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6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6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6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6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6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6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6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6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6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6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6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6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6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6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6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6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6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6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6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6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kpckEUNQuz4eRmRjJtaW9t161H11/femmRGKYSgc4MR1PMMHZLWpBPbo72BLsqLc6VDPlztv7Esl8aDl/daVcg==" saltValue="sQi4lv8oWeOK7fAIPRW5XA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3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7" t="s">
        <v>1401</v>
      </c>
      <c r="E8" s="398"/>
      <c r="F8" s="397" t="s">
        <v>1402</v>
      </c>
      <c r="G8" s="398"/>
      <c r="H8" s="397" t="s">
        <v>1403</v>
      </c>
      <c r="I8" s="399"/>
      <c r="J8" s="397" t="s">
        <v>1404</v>
      </c>
      <c r="K8" s="398"/>
      <c r="L8" s="397" t="s">
        <v>1407</v>
      </c>
      <c r="M8" s="398"/>
      <c r="N8" s="397" t="s">
        <v>1408</v>
      </c>
      <c r="O8" s="398"/>
      <c r="P8" s="397" t="s">
        <v>1409</v>
      </c>
      <c r="Q8" s="399"/>
      <c r="R8" s="397" t="s">
        <v>1410</v>
      </c>
      <c r="S8" s="398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7" t="s">
        <v>1401</v>
      </c>
      <c r="E38" s="398"/>
      <c r="F38" s="397" t="s">
        <v>1402</v>
      </c>
      <c r="G38" s="398"/>
      <c r="H38" s="397" t="s">
        <v>1403</v>
      </c>
      <c r="I38" s="399"/>
      <c r="J38" s="397" t="s">
        <v>1404</v>
      </c>
      <c r="K38" s="398"/>
      <c r="L38" s="397" t="s">
        <v>1407</v>
      </c>
      <c r="M38" s="398"/>
      <c r="N38" s="397" t="s">
        <v>1408</v>
      </c>
      <c r="O38" s="398"/>
      <c r="P38" s="397" t="s">
        <v>1409</v>
      </c>
      <c r="Q38" s="399"/>
      <c r="R38" s="397" t="s">
        <v>1410</v>
      </c>
      <c r="S38" s="398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7" t="s">
        <v>1401</v>
      </c>
      <c r="G59" s="398"/>
      <c r="H59" s="397" t="s">
        <v>1402</v>
      </c>
      <c r="I59" s="398"/>
      <c r="J59" s="397" t="s">
        <v>1403</v>
      </c>
      <c r="K59" s="399"/>
      <c r="L59" s="397" t="s">
        <v>1404</v>
      </c>
      <c r="M59" s="398"/>
      <c r="N59" s="397" t="s">
        <v>1407</v>
      </c>
      <c r="O59" s="398"/>
      <c r="P59" s="397" t="s">
        <v>1408</v>
      </c>
      <c r="Q59" s="398"/>
      <c r="R59" s="397" t="s">
        <v>1409</v>
      </c>
      <c r="S59" s="399"/>
      <c r="T59" s="397" t="s">
        <v>1410</v>
      </c>
      <c r="U59" s="398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6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6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6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6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6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6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6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6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6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6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6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6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6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6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6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6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6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6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6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6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6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6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6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6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6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6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6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6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6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6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6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6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6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6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6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6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6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6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6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6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3rBHaw61Hy3VDD/BKBdc5riwu9xbqGLDMd2s+9OpG5t7sXldYwui47x+HI2Z9sNvAArna7gFzQhZxXUQsiI+Kg==" saltValue="elkhgHWvFpoLnipu7hjOhg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3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6DMrBfJ6Wiq4Few0YrfgE3G8eFbSnIQAUnYICSnFY4k2XHiNpt6W2RBM4UmHwC82daAdoUpEUVLx5tDNQf6zvA==" saltValue="lwDh7gMeZtj05PdvN9CkDQ==" spinCount="100000" sheet="1" objects="1" scenarios="1"/>
  <dataConsolidate/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0" t="s">
        <v>204</v>
      </c>
      <c r="D21" s="401"/>
      <c r="E21" s="401"/>
      <c r="F21" s="401"/>
      <c r="G21" s="401"/>
      <c r="H21" s="401"/>
      <c r="I21" s="400" t="s">
        <v>205</v>
      </c>
      <c r="J21" s="401"/>
      <c r="K21" s="401"/>
      <c r="L21" s="401"/>
      <c r="M21" s="402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0" t="s">
        <v>204</v>
      </c>
      <c r="D27" s="401"/>
      <c r="E27" s="401"/>
      <c r="F27" s="401"/>
      <c r="G27" s="401"/>
      <c r="H27" s="402"/>
      <c r="I27" s="400" t="s">
        <v>205</v>
      </c>
      <c r="J27" s="401"/>
      <c r="K27" s="401"/>
      <c r="L27" s="401"/>
      <c r="M27" s="402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0" t="s">
        <v>204</v>
      </c>
      <c r="D33" s="401"/>
      <c r="E33" s="401"/>
      <c r="F33" s="401"/>
      <c r="G33" s="401"/>
      <c r="H33" s="402"/>
      <c r="I33" s="400" t="s">
        <v>205</v>
      </c>
      <c r="J33" s="401"/>
      <c r="K33" s="401"/>
      <c r="L33" s="401"/>
      <c r="M33" s="402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1"/>
      <c r="E39" s="401"/>
      <c r="F39" s="401"/>
      <c r="G39" s="401"/>
      <c r="H39" s="402"/>
      <c r="I39" s="400" t="s">
        <v>205</v>
      </c>
      <c r="J39" s="401"/>
      <c r="K39" s="401"/>
      <c r="L39" s="401"/>
      <c r="M39" s="402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2pQQHKjBpUNExcqIfMNGfrYijMmuCVSULiWCTLaFeps5PN57LB6MuK8oWSQp1QnxjX5rqdqtiLf2edWjDoZr6w==" saltValue="1/ZVZTuFKgUI2kryecM7k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3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4" sqref="B304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1521</v>
      </c>
      <c r="B3" s="370" t="s">
        <v>1528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1452</v>
      </c>
    </row>
    <row r="61" spans="1:2">
      <c r="A61" s="365" t="s">
        <v>688</v>
      </c>
      <c r="B61" s="365" t="s">
        <v>1452</v>
      </c>
    </row>
    <row r="62" spans="1:2">
      <c r="A62" s="365" t="s">
        <v>1454</v>
      </c>
      <c r="B62" s="365" t="s">
        <v>1452</v>
      </c>
    </row>
    <row r="63" spans="1:2">
      <c r="A63" s="365" t="s">
        <v>1455</v>
      </c>
      <c r="B63" s="365" t="s">
        <v>1452</v>
      </c>
    </row>
    <row r="64" spans="1:2">
      <c r="A64" s="365" t="s">
        <v>1456</v>
      </c>
      <c r="B64" s="365" t="s">
        <v>1452</v>
      </c>
    </row>
    <row r="65" spans="1:3">
      <c r="A65" s="365" t="s">
        <v>713</v>
      </c>
      <c r="B65" s="365" t="s">
        <v>1452</v>
      </c>
    </row>
    <row r="66" spans="1:3">
      <c r="A66" s="370" t="s">
        <v>1301</v>
      </c>
      <c r="B66" s="370" t="s">
        <v>1452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1457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1458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1457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1458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1529</v>
      </c>
    </row>
    <row r="322" spans="1:4">
      <c r="A322" s="70"/>
      <c r="B322" s="137"/>
      <c r="C322" s="70"/>
      <c r="D322" s="11"/>
    </row>
  </sheetData>
  <sheetProtection algorithmName="SHA-512" hashValue="4iYKarhxCOaWaKGd11F/TCO1+Nusacwi7aJhLIXPawHAAZyqKCrj2Ir/dnu78z6j+9jlyyfR3Dq02bPVYG0Z/A==" saltValue="hALiLJkoFrDISOSZRKoROg==" spinCount="100000" sheet="1" objects="1" scenarios="1"/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1462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1434</v>
      </c>
    </row>
    <row r="4" spans="1:23" s="370" customFormat="1">
      <c r="A4" s="132"/>
      <c r="B4" s="367" t="s">
        <v>1521</v>
      </c>
      <c r="C4" s="385">
        <v>43136</v>
      </c>
      <c r="D4" s="386" t="s">
        <v>1522</v>
      </c>
      <c r="E4" s="386" t="s">
        <v>1523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1453</v>
      </c>
      <c r="C5" s="371">
        <v>43077</v>
      </c>
      <c r="D5" s="133" t="s">
        <v>1431</v>
      </c>
      <c r="E5" s="369" t="s">
        <v>1461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1453</v>
      </c>
      <c r="C6" s="368">
        <v>43068</v>
      </c>
      <c r="D6" s="369" t="s">
        <v>1459</v>
      </c>
      <c r="E6" s="369" t="s">
        <v>1460</v>
      </c>
    </row>
    <row r="7" spans="1:23">
      <c r="B7" s="425" t="s">
        <v>1433</v>
      </c>
      <c r="C7" s="428" t="s">
        <v>1435</v>
      </c>
      <c r="D7" s="133" t="s">
        <v>1423</v>
      </c>
      <c r="E7" s="133" t="s">
        <v>1428</v>
      </c>
    </row>
    <row r="8" spans="1:23">
      <c r="B8" s="426"/>
      <c r="C8" s="429"/>
      <c r="D8" s="133" t="s">
        <v>1430</v>
      </c>
      <c r="E8" s="133" t="s">
        <v>1432</v>
      </c>
    </row>
    <row r="9" spans="1:23">
      <c r="B9" s="426"/>
      <c r="C9" s="429"/>
      <c r="D9" s="133" t="s">
        <v>1431</v>
      </c>
      <c r="E9" s="133" t="s">
        <v>1432</v>
      </c>
    </row>
    <row r="10" spans="1:23">
      <c r="B10" s="426"/>
      <c r="C10" s="429"/>
      <c r="D10" s="133" t="s">
        <v>1424</v>
      </c>
      <c r="E10" s="133" t="s">
        <v>1429</v>
      </c>
    </row>
    <row r="11" spans="1:23">
      <c r="B11" s="426"/>
      <c r="C11" s="429"/>
      <c r="D11" s="133" t="s">
        <v>1425</v>
      </c>
      <c r="E11" s="133" t="s">
        <v>1429</v>
      </c>
    </row>
    <row r="12" spans="1:23">
      <c r="B12" s="426"/>
      <c r="C12" s="429"/>
      <c r="D12" s="133" t="s">
        <v>1426</v>
      </c>
      <c r="E12" s="133" t="s">
        <v>1429</v>
      </c>
    </row>
    <row r="13" spans="1:23">
      <c r="B13" s="427"/>
      <c r="C13" s="430"/>
      <c r="D13" s="133" t="s">
        <v>1427</v>
      </c>
      <c r="E13" s="133" t="s">
        <v>1429</v>
      </c>
    </row>
    <row r="14" spans="1:23">
      <c r="B14" s="134" t="s">
        <v>1439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1438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1437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1436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8bopcBjMPwsVLJgO/la7H4UE70L+4hDeZhnL1KgfVIZSZ7EIqp1y7RKRNgfT35WsEWJ26WQALyZ7tZKdL+r56A==" saltValue="2ov2720jmwvSlX4LaR8vfw==" spinCount="100000" sheet="1" objects="1" scenarios="1"/>
  <mergeCells count="4">
    <mergeCell ref="B17:B23"/>
    <mergeCell ref="C17:C23"/>
    <mergeCell ref="B7:B13"/>
    <mergeCell ref="C7:C13"/>
  </mergeCells>
  <phoneticPr fontId="1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2018-08-03T04:47:12Z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
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2_LTE_MT6177M\DRDI\Set1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<sst xmlns="http://schemas.openxmlformats.org/spreadsheetml/2006/main" count="4806" uniqueCount="1532">
  <si>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</si>
  <si>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</si>
  <si>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</si>
  <si>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</si>
  <si>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</si>
  <si>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</si>
  <si>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</si>
  <si>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</si>
  <si>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</si>
  <si>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</si>
  <si>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</si>
  <si>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</si>
  <si>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</si>
  <si>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</si>
  <si>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</si>
  <si>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</si>
  <si>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</si>
  <si>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</si>
  <si>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</si>
  <si>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</si>
  <si>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</si>
  <si>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</si>
  <si>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</si>
  <si>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</si>
  <si>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</si>
  <si>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</si>
  <si>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</si>
  <si>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</si>
  <si>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</si>
  <si>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</si>
  <si>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</si>
  <si>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</si>
  <si>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</si>
  <si>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</si>
  <si>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</si>
  <si>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</si>
  <si>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</si>
  <si>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</si>
  <si>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</si>
  <si>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</si>
  <si>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</si>
  <si>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</si>
  <si>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</si>
  <si>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</si>
  <si>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</si>
  <si>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</si>
  <si>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</si>
  <si>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</si>
  <si>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</si>
  <si>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</si>
  <si>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</si>
  <si>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</si>
  <si>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</si>
  <si>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</si>
  <si>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</si>
  <si>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</si>
  <si>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</si>
  <si>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</si>
  <si>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</si>
  <si>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</si>
  <si>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</si>
  <si>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</si>
  <si>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</si>
  <si>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</si>
  <si>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</si>
  <si>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</si>
  <si>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</si>
  <si>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</si>
  <si>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</si>
  <si>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</si>
  <si>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</si>
  <si>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</si>
  <si>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</si>
  <si>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</si>
  <si>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</si>
  <si>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</si>
  <si>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</si>
  <si>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</si>
  <si>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</si>
  <si>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</si>
  <si>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</si>
  <si>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</si>
  <si>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</si>
  <si>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</si>
  <si>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</si>
  <si>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</si>
  <si>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</si>
  <si>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</si>
  <si>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</si>
  <si>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</si>
  <si>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</si>
  <si>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</si>
  <si>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</si>
  <si>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</si>
  <si>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</si>
  <si>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</si>
  <si>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</si>
  <si>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</si>
  <si>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</si>
  <si>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</si>
  <si>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</si>
  <si>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</si>
  <si>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</si>
  <si>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</si>
  <si>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</si>
  <si>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</si>
  <si>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</si>
  <si>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</si>
  <si>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</si>
  <si>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</si>
  <si>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</si>
  <si>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</si>
  <si>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</si>
  <si>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</si>
  <si>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</si>
  <si>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</si>
  <si>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</si>
  <si>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</si>
  <si>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</si>
  <si>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</si>
  <si>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</si>
  <si>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</si>
  <si>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</si>
  <si>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</si>
  <si>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</si>
  <si>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</si>
  <si>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</si>
  <si>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</si>
  <si>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</si>
  <si>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</si>
  <si>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</si>
  <si>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</si>
  <si>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</si>
  <si>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</si>
  <si>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</si>
  <si>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</si>
  <si>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</si>
  <si>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</si>
  <si>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</si>
  <si>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</si>
  <si>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</si>
  <si>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</si>
  <si>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</si>
  <si>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</si>
  <si>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</si>
  <si>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</si>
  <si>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</si>
  <si>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</si>
  <si>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</si>
  <si>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</si>
  <si>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</si>
  <si>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</si>
  <si>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</si>
  <si>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</si>
  <si>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</si>
  <si>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</si>
  <si>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</si>
  <si>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</si>
  <si>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</si>
  <si>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</si>
  <si>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</si>
  <si>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</si>
  <si>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</si>
  <si>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</si>
  <si>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</si>
  <si>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</si>
  <si>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</si>
  <si>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</si>
  <si>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</si>
  <si>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</si>
  <si>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</si>
  <si>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</si>
  <si>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</si>
  <si>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</si>
  <si>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</si>
  <si>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</si>
  <si>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</si>
  <si>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</si>
  <si>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</si>
  <si>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</si>
  <si>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</si>
  <si>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</si>
  <si>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</si>
  <si>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</si>
  <si>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</si>
  <si>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</si>
  <si>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</si>
  <si>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</si>
  <si>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</si>
  <si>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</si>
  <si>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</si>
  <si>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</si>
  <si>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</si>
  <si>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</si>
  <si>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</si>
  <si>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</si>
  <si>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</si>
  <si>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</si>
  <si>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</si>
  <si>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</si>
  <si>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</si>
  <si>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</si>
  <si>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</si>
  <si>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</si>
  <si>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</si>
  <si>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</si>
  <si>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</si>
  <si>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</si>
  <si>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</si>
  <si>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</si>
  <si>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</si>
  <si>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</si>
  <si>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</si>
  <si>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</si>
  <si>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</si>
  <si>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</si>
  <si>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</si>
  <si>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</si>
  <si>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</si>
  <si>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</si>
  <si>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</si>
  <si>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</si>
  <si>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</si>
  <si>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</si>
  <si>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</si>
  <si>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</si>
  <si>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</si>
  <si>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</si>
  <si>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</si>
  <si>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</si>
  <si>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</si>
  <si>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</si>
  <si>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</si>
  <si>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</si>
  <si>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</si>
  <si>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</si>
  <si>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</si>
  <si>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</si>
  <si>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</si>
  <si>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</si>
  <si>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</si>
  <si>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</si>
  <si>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</si>
  <si>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</si>
  <si>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</si>
  <si>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</si>
  <si>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</si>
  <si>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</si>
  <si>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</si>
  <si>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</si>
  <si>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</si>
  <si>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</si>
  <si>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</si>
  <si>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</si>
  <si>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</si>
  <si>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</si>
  <si>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</si>
  <si>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</si>
  <si>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</si>
  <si>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</si>
  <si>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</si>
  <si>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</si>
  <si>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</si>
  <si>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</si>
  <si>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</si>
  <si>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</si>
  <si>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</si>
  <si>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</si>
  <si>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</si>
  <si>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</si>
  <si>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</si>
  <si>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</si>
  <si>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</si>
  <si>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</si>
  <si>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</si>
  <si>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</si>
  <si>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</si>
  <si>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</si>
  <si>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</si>
  <si>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</si>
  <si>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</si>
  <si>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</si>
  <si>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</si>
  <si>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</si>
  <si>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</si>
  <si>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</si>
  <si>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</si>
  <si>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</si>
  <si>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</si>
  <si>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</si>
  <si>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</si>
  <si>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</si>
  <si>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</si>
  <si>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</si>
  <si>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</si>
  <si>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</si>
  <si>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</si>
  <si>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</si>
  <si>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</si>
  <si>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</si>
  <si>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</si>
  <si>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</si>
  <si>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</si>
  <si>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</si>
  <si>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</si>
  <si>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</si>
  <si>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</si>
  <si>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</si>
  <si>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</si>
  <si>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</si>
  <si>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</si>
  <si>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</si>
  <si>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</si>
  <si>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</si>
  <si>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</si>
  <si>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</si>
  <si>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</si>
  <si>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</si>
  <si>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</si>
  <si>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</si>
  <si>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</si>
  <si>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</si>
  <si>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</si>
  <si>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</si>
  <si>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</si>
  <si>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</si>
  <si>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</si>
  <si>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</si>
  <si>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</si>
  <si>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</si>
  <si>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</si>
  <si>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</si>
  <si>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</si>
  <si>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</si>
  <si>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</si>
  <si>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</si>
  <si>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</si>
  <si>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</si>
  <si>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</si>
  <si>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</si>
  <si>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</si>
  <si>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</si>
  <si>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</si>
  <si>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</si>
  <si>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</si>
  <si>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</si>
  <si>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</si>
  <si>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</si>
  <si>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</si>
  <si>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</si>
  <si>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</si>
  <si>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</si>
  <si>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</si>
  <si>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</si>
  <si>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</si>
  <si>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</si>
  <si>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</si>
  <si>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</si>
  <si>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</si>
  <si>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</si>
  <si>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</si>
  <si>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</si>
  <si>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</si>
  <si>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</si>
  <si>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</si>
  <si>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</si>
  <si>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</si>
  <si>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</si>
  <si>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</si>
  <si>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</si>
  <si>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</si>
  <si>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</si>
  <si>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</si>
  <si>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</si>
  <si>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</si>
  <si>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</si>
  <si>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</si>
  <si>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</si>
  <si>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</si>
  <si>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</si>
  <si>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</si>
  <si>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</si>
  <si>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</si>
  <si>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</si>
  <si>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</si>
  <si>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</si>
  <si>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</si>
  <si>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</si>
  <si>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</si>
  <si>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</si>
  <si>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</si>
  <si>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</si>
  <si>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</si>
  <si>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</si>
  <si>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</si>
  <si>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</si>
  <si>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</si>
  <si>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</si>
  <si>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</si>
  <si>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</si>
  <si>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</si>
  <si>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</si>
  <si>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</si>
  <si>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</si>
  <si>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</si>
  <si>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</si>
  <si>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</si>
  <si>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</si>
  <si>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</si>
  <si>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</si>
  <si>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</si>
  <si>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</si>
  <si>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</si>
  <si>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</si>
  <si>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</si>
  <si>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</si>
  <si>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</si>
  <si>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</si>
  <si>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</si>
  <si>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</si>
  <si>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</si>
  <si>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</si>
  <si>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</si>
  <si>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</si>
  <si>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</si>
  <si>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</si>
  <si>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</si>
  <si>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</si>
  <si>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</si>
  <si>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</si>
  <si>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</si>
  <si>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</si>
  <si>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</si>
  <si>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</si>
  <si>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</si>
  <si>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</si>
  <si>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</si>
  <si>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</si>
  <si>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</si>
  <si>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</si>
  <si>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</si>
  <si>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</si>
  <si>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</si>
  <si>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</si>
  <si>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</si>
  <si>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</si>
  <si>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</si>
  <si>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</si>
  <si>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</si>
  <si>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</si>
  <si>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</si>
  <si>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</si>
  <si>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</si>
  <si>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</si>
  <si>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</si>
  <si>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</si>
  <si>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</si>
  <si>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</si>
  <si>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</si>
  <si>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</si>
  <si>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</si>
  <si>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</si>
  <si>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</si>
  <si>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</si>
  <si>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</si>
  <si>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</si>
  <si>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</si>
  <si>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</si>
  <si>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</si>
  <si>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</si>
  <si>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</si>
  <si>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</si>
  <si>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</si>
  <si>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</si>
  <si>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</si>
  <si>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</si>
  <si>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</si>
  <si>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</si>
  <si>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</si>
  <si>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</si>
  <si>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</si>
  <si>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</si>
  <si>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</si>
  <si>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</si>
  <si>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</si>
  <si>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</si>
  <si>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</si>
  <si>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</si>
  <si>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</si>
  <si>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</si>
  <si>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</si>
  <si>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</si>
  <si>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</si>
  <si>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</si>
  <si>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</si>
  <si>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</si>
  <si>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</si>
  <si>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</si>
  <si>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</si>
  <si>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</si>
  <si>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</si>
  <si>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</si>
  <si>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</si>
  <si>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</si>
  <si>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</si>
  <si>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</si>
  <si>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</si>
  <si>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</si>
  <si>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</si>
  <si>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</si>
  <si>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</si>
  <si>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</si>
  <si>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</si>
  <si>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</si>
  <si>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</si>
  <si>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</si>
  <si>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</si>
  <si>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</si>
  <si>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</si>
  <si>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</si>
  <si>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</si>
  <si>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</si>
  <si>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</si>
  <si>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</si>
  <si>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</si>
  <si>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</si>
  <si>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</si>
  <si>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</si>
  <si>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</si>
  <si>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</si>
  <si>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</si>
  <si>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</si>
  <si>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</si>
  <si>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</si>
  <si>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</si>
  <si>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</si>
  <si>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</si>
  <si>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</si>
  <si>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</si>
  <si>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</si>
  <si>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</si>
  <si>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</si>
  <si>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</si>
  <si>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</si>
  <si>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</si>
  <si>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</si>
  <si>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</si>
  <si>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</si>
  <si>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</si>
  <si>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</si>
  <si>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</si>
  <si>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</si>
  <si>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</si>
  <si>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</si>
  <si>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</si>
  <si>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</si>
  <si>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</si>
  <si>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</si>
  <si>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</si>
  <si>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</si>
  <si>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</si>
  <si>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</si>
  <si>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</si>
  <si>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</si>
  <si>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</si>
  <si>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</si>
  <si>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</si>
  <si>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</si>
  <si>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</si>
  <si>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</si>
  <si>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</si>
  <si>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</si>
  <si>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</si>
  <si>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</si>
  <si>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</si>
  <si>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</si>
  <si>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</si>
  <si>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</si>
  <si>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</si>
  <si>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</si>
  <si>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</si>
  <si>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</si>
  <si>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</si>
  <si>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</si>
  <si>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</si>
  <si>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</si>
  <si>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</si>
  <si>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</si>
  <si>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</si>
  <si>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</si>
  <si>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</si>
  <si>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</si>
  <si>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</si>
  <si>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</si>
  <si>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</si>
  <si>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</si>
  <si>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</si>
  <si>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</si>
  <si>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</si>
  <si>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</si>
  <si>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</si>
  <si>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</si>
  <si>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</si>
  <si>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</si>
  <si>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</si>
  <si>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</si>
  <si>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</si>
  <si>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</si>
  <si>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</si>
  <si>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</si>
  <si>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</si>
  <si>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</si>
  <si>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</si>
  <si>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</si>
  <si>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</si>
  <si>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</si>
  <si>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</si>
  <si>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</si>
  <si>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</si>
  <si>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</si>
  <si>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</si>
  <si>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</si>
  <si>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</si>
  <si>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</si>
  <si>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</si>
  <si>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</si>
  <si>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</si>
  <si>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</si>
  <si>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</si>
  <si>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</si>
  <si>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</si>
  <si>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</si>
  <si>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</si>
  <si>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</si>
  <si>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</si>
  <si>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</si>
  <si>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</si>
  <si>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</si>
  <si>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</si>
  <si>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</si>
  <si>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</si>
  <si>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</si>
  <si>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</si>
  <si>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</si>
  <si>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</si>
  <si>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</si>
  <si>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</si>
  <si>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</si>
  <si>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</si>
  <si>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</si>
  <si>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</si>
  <si>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</si>
  <si>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</si>
  <si>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</si>
  <si>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</si>
  <si>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</si>
  <si>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</si>
  <si>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</si>
  <si>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</si>
  <si>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</si>
  <si>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</si>
  <si>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</si>
  <si>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</si>
  <si>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</si>
  <si>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</si>
  <si>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</si>
  <si>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</si>
  <si>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</si>
  <si>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</si>
  <si>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</si>
  <si>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</si>
  <si>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</si>
  <si>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</si>
  <si>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</si>
  <si>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</si>
  <si>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</si>
  <si>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</si>
  <si>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</si>
  <si>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</si>
  <si>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</si>
  <si>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</si>
  <si>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</si>
  <si>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</si>
  <si>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</si>
  <si>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</si>
  <si>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</si>
  <si>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</si>
  <si>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</si>
  <si>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</si>
  <si>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</si>
  <si>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</si>
  <si>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</si>
  <si>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</si>
  <si>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</si>
  <si>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</si>
  <si>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</si>
  <si>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</si>
  <si>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</si>
  <si>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</si>
  <si>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</si>
  <si>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</si>
  <si>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</si>
  <si>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</si>
  <si>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</si>
  <si>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</si>
  <si>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</si>
  <si>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</si>
  <si>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</si>
  <si>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</si>
  <si>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</si>
  <si>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</si>
  <si>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</si>
  <si>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</si>
  <si>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</si>
  <si>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</si>
  <si>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</si>
  <si>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</si>
  <si>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</si>
  <si>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</si>
  <si>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</si>
  <si>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</si>
  <si>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</si>
  <si>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</si>
  <si>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</si>
  <si>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</si>
  <si>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</si>
  <si>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</si>
  <si>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</si>
  <si>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</si>
  <si>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</si>
  <si>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</si>
  <si>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</si>
  <si>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</si>
  <si>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</si>
  <si>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</si>
  <si>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</si>
  <si>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</si>
  <si>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</si>
  <si>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</si>
  <si>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</si>
  <si>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</si>
  <si>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</si>
  <si>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</si>
  <si>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</si>
  <si>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</si>
  <si>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</si>
  <si>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</si>
  <si>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</si>
  <si>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</si>
  <si>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</si>
  <si>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</si>
  <si>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</si>
  <si>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</si>
  <si>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</si>
  <si>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</si>
  <si>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</si>
  <si>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</si>
  <si>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</si>
  <si>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</si>
  <si>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</si>
  <si>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</si>
  <si>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</si>
  <si>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</si>
  <si>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</si>
  <si>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</si>
  <si>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</si>
  <si>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</si>
  <si>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</si>
  <si>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</si>
  <si>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</si>
  <si>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</si>
  <si>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</si>
  <si>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</si>
  <si>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</si>
  <si>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</si>
  <si>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</si>
  <si>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</si>
  <si>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</si>
  <si>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</si>
  <si>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</si>
  <si>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</si>
  <si>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</si>
  <si>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</si>
  <si>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</si>
  <si>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</si>
  <si>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</si>
  <si>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</si>
  <si>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</si>
  <si>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</si>
  <si>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</si>
  <si>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</si>
  <si>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</si>
  <si>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</si>
  <si>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</si>
  <si>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</si>
  <si>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</si>
  <si>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</si>
  <si>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</si>
  <si>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</si>
  <si>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</si>
  <si>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</si>
  <si>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</si>
  <si>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</si>
  <si>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</si>
  <si>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</si>
  <si>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</si>
  <si>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</si>
  <si>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</si>
  <si>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</si>
  <si>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</si>
  <si>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</si>
  <si>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</si>
  <si>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</si>
  <si>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</si>
  <si>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</si>
  <si>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</si>
  <si>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</si>
  <si>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</si>
  <si>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</si>
  <si>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</si>
  <si>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</si>
  <si>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</si>
  <si>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</si>
  <si>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</si>
  <si>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</si>
  <si>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</si>
  <si>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</si>
  <si>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</si>
  <si>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</si>
  <si>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</si>
  <si>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</si>
  <si>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</si>
  <si>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</si>
  <si>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</si>
  <si>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</si>
  <si>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</si>
  <si>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</si>
  <si>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</si>
  <si>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</si>
  <si>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</si>
  <si>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</si>
  <si>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</si>
  <si>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</si>
  <si>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</si>
  <si>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</si>
  <si>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</si>
  <si>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</si>
  <si>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</si>
  <si>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</si>
  <si>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</si>
  <si>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</si>
  <si>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</si>
  <si>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</si>
  <si>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</si>
  <si>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</si>
  <si>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</si>
  <si>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</si>
  <si>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</si>
  <si>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</si>
  <si>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</si>
  <si>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</si>
  <si>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</si>
  <si>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</si>
  <si>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</si>
  <si>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</si>
  <si>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</si>
  <si>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</si>
  <si>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</si>
  <si>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</si>
  <si>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</si>
  <si>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</si>
  <si>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</si>
  <si>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</si>
  <si>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</si>
  <si>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</si>
  <si>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</si>
  <si>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</si>
  <si>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</si>
  <si>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</si>
  <si>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</si>
  <si>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</si>
  <si>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</si>
  <si>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</si>
  <si>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</si>
  <si>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</si>
  <si>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</si>
  <si>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</si>
  <si>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</si>
  <si>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</si>
  <si>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</si>
  <si>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</si>
  <si>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</si>
  <si>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</si>
  <si>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</si>
  <si>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</si>
  <si>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</si>
  <si>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</si>
  <si>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</si>
  <si>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</si>
  <si>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</si>
  <si>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</si>
  <si>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</si>
  <si>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</si>
  <si>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</si>
  <si>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</si>
  <si>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</si>
  <si>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</si>
  <si>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</si>
  <si>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</si>
  <si>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</si>
  <si>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</si>
  <si>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</si>
  <si>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</si>
  <si>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</si>
  <si>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</si>
  <si>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</si>
  <si>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</si>
  <si>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</si>
  <si>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</si>
  <si>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</si>
  <si>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</si>
  <si>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</si>
  <si>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</si>
  <si>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</si>
  <si>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</si>
  <si>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</si>
  <si>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</si>
  <si>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</si>
  <si>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</si>
  <si>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</si>
  <si>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</si>
  <si>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</si>
  <si>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</si>
  <si>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</si>
  <si>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</si>
  <si>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</si>
  <si>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</si>
  <si>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</si>
  <si>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</si>
  <si>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</si>
  <si>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</si>
  <si>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</si>
  <si>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</si>
  <si>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</si>
  <si>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</si>
  <si>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</si>
  <si>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</si>
  <si>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</si>
  <si>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</si>
  <si>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</si>
  <si>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</si>
  <si>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</si>
  <si>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</si>
  <si>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</si>
  <si>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</si>
  <si>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</si>
  <si>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</si>
  <si>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</si>
  <si>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</si>
  <si>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</si>
  <si>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</si>
  <si>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</si>
  <si>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</si>
  <si>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</si>
  <si>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</si>
  <si>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</si>
  <si>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</si>
  <si>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</si>
  <si>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</si>
  <si>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</si>
  <si>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</si>
  <si>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</si>
  <si>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</si>
  <si>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</si>
  <si>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</si>
  <si>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</si>
  <si>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</si>
  <si>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</si>
  <si>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</si>
  <si>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</si>
  <si>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</si>
  <si>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</si>
  <si>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</si>
  <si>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</si>
  <si>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</si>
  <si>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</si>
  <si>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</si>
  <si>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</si>
  <si>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</si>
  <si>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</si>
  <si>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</si>
  <si>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</si>
  <si>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</si>
  <si>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</si>
  <si>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</si>
  <si>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</si>
  <si>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</si>
  <si>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</si>
  <si>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</si>
  <si>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</si>
  <si>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</si>
  <si>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</si>
  <si>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</si>
  <si>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</si>
  <si>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</si>
  <si>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</si>
  <si>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</si>
  <si>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</si>
  <si>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</si>
  <si>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</si>
  <si>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</si>
  <si>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</si>
  <si>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</si>
  <si>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</si>
  <si>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</si>
  <si>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</si>
  <si>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</si>
  <si>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</si>
  <si>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</si>
  <si>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</si>
  <si>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</si>
  <si>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</si>
  <si>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</si>
  <si>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</si>
  <si>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</si>
  <si>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</si>
  <si>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</si>
  <si>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</si>
  <si>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</si>
  <si>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</si>
  <si>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</si>
  <si>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</si>
  <si>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</si>
  <si>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</si>
  <si>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</si>
  <si>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</si>
  <si>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</si>
  <si>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</si>
  <si>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</si>
  <si>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</si>
  <si>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</si>
  <si>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</si>
  <si>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</si>
  <si>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</si>
  <si>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</si>
  <si>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</si>
  <si>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</si>
  <si>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</si>
  <si>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</si>
  <si>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</si>
  <si>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</si>
  <si>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</si>
  <si>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</si>
  <si>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</si>
  <si>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</si>
  <si>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</si>
  <si>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</si>
  <si>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</si>
  <si>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</si>
  <si>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</si>
  <si>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</si>
  <si>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</si>
  <si>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</si>
  <si>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</si>
  <si>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</si>
  <si>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</si>
  <si>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</si>
  <si>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</si>
  <si>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</si>
  <si>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</si>
  <si>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</si>
  <si>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</si>
  <si>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</si>
  <si>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</si>
  <si>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</si>
  <si>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</si>
  <si>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</si>
  <si>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</si>
  <si>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</si>
  <si>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</si>
  <si>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</si>
  <si>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</si>
  <si>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</si>
  <si>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</si>
  <si>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</si>
  <si>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</si>
  <si>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</si>
  <si>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</si>
  <si>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</si>
  <si>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</si>
  <si>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</si>
  <si>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</si>
  <si>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</si>
  <si>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</si>
  <si>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</si>
  <si>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</si>
  <si>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</si>
  <si>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</si>
  <si>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</si>
  <si>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</si>
  <si>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</si>
  <si>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</si>
  <si>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</si>
  <si>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</si>
  <si>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</si>
  <si>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</si>
  <si>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</si>
  <si>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</si>
  <si>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</si>
  <si>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</si>
  <si>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</si>
  <si>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</si>
  <si>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</si>
  <si>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</si>
  <si>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</si>
  <si>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</si>
  <si>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</si>
  <si>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</si>
  <si>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</si>
  <si>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</si>
  <si>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</si>
  <si>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</si>
  <si>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</si>
  <si>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</si>
  <si>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</si>
  <si>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</si>
  <si>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</si>
  <si>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</si>
  <si>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</si>
  <si>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</si>
  <si>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</si>
  <si>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</si>
  <si>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</si>
  <si>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</si>
  <si>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</si>
  <si>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</si>
  <si>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</si>
  <si>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</si>
  <si>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</si>
  <si>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</si>
  <si>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</si>
  <si>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</si>
  <si>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</si>
  <si>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</si>
  <si>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</si>
  <si>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</si>
  <si>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</si>
  <si>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</si>
  <si>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</si>
  <si>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</si>
  <si>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</si>
  <si>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</si>
  <si>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</si>
  <si>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</si>
  <si>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</si>
  <si>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</si>
  <si>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</si>
  <si>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</si>
  <si>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</si>
  <si>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</si>
  <si>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</si>
  <si>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</si>
  <si>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</si>
  <si>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</si>
  <si>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</si>
  <si>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</si>
  <si>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</si>
  <si>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</si>
  <si>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</si>
  <si>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</si>
  <si>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</si>
  <si>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</si>
  <si>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</si>
  <si>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</si>
  <si>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</si>
  <si>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</si>
  <si>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</si>
  <si>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</si>
  <si>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</si>
  <si>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</si>
  <si>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</si>
  <si>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</si>
  <si>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</si>
  <si>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</si>
  <si>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</si>
  <si>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</si>
  <si>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</si>
  <si>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</si>
  <si>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</si>
  <si>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</si>
  <si>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</si>
  <si>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</si>
  <si>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</si>
  <si>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</si>
  <si>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</si>
  <si>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</si>
  <si>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</si>
  <si>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</si>
  <si>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</si>
  <si>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</si>
  <si>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</si>
  <si>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</si>
  <si>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</si>
  <si>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</si>
  <si>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</si>
  <si>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</si>
  <si>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</si>
  <si>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</si>
  <si>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</si>
  <si>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</si>
  <si>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</si>
  <si>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</si>
  <si>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</si>
  <si>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</si>
  <si>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</si>
  <si>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</si>
  <si>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</si>
  <si>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</si>
  <si>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</si>
  <si>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</si>
  <si>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</si>
  <si>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</si>
  <si>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</si>
  <si>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</si>
  <si>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</si>
  <si>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</si>
  <si>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</si>
  <si>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</si>
  <si>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</si>
  <si>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</si>
  <si>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</si>
  <si>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</si>
  <si>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</si>
  <si>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</si>
  <si>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</si>
  <si>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</si>
  <si>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</si>
  <si>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</si>
  <si>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</si>
  <si>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</si>
  <si>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</si>
  <si>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</si>
  <si>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</si>
  <si>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</si>
  <si>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</si>
  <si>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</si>
  <si>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</si>
  <si>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</si>
  <si>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</si>
  <si>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</si>
  <si>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</si>
  <si>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</si>
  <si>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</si>
  <si>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</si>
  <si>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</si>
  <si>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</si>
  <si>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</si>
  <si>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</si>
  <si>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</si>
  <si>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</si>
  <si>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</si>
  <si>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</si>
  <si>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</si>
  <si>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</si>
  <si>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</si>
  <si>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</si>
  <si>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</si>
  <si>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</si>
  <si>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</si>
  <si>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</si>
  <si>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</si>
  <si>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</si>
  <si>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</si>
  <si>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</si>
  <si>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</si>
  <si>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</si>
  <si>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</si>
  <si>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</si>
  <si>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</si>
  <si>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</si>
  <si>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</si>
  <si>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</si>
  <si>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</si>
  <si>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</si>
  <si>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</si>
  <si>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</si>
  <si>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</si>
  <si>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</si>
  <si>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</si>
  <si>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</si>
  <si>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</si>
  <si>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</si>
  <si>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</si>
  <si>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</si>
  <si>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</si>
  <si>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</si>
  <si>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</si>
  <si>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</si>
  <si>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</si>
  <si>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</si>
  <si>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</si>
  <si>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</si>
  <si>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</si>
  <si>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</si>
  <si>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</si>
  <si>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</si>
  <si>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</si>
  <si>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</si>
  <si>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</si>
  <si>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</si>
  <si>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</si>
  <si>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</si>
  <si>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</si>
  <si>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</si>
  <si>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</si>
  <si>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</si>
  <si>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</si>
  <si>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</si>
  <si>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</si>
  <si>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</si>
  <si>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</si>
  <si>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</si>
  <si>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</si>
  <si>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</si>
  <si>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</si>
  <si>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</si>
  <si>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</si>
  <si>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</si>
  <si>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</si>
  <si>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</si>
  <si>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</si>
  <si>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</si>
  <si>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</si>
  <si>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</si>
  <si>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</si>
  <si>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</si>
  <si>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</si>
  <si>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</si>
  <si>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</si>
  <si>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</si>
  <si>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</si>
  <si>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</si>
  <si>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</si>
  <si>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</si>
  <si>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</si>
  <si>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</si>
  <si>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</si>
  <si>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</si>
  <si>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</si>
  <si>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</si>
  <si>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</si>
  <si>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</si>
  <si>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</si>
  <si>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</si>
  <si>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</si>
  <si>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</si>
  <si>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</si>
  <si>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</si>
  <si>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</si>
  <si>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</si>
  <si>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</si>
  <si>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</si>
  <si>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</si>
  <si>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</si>
  <si>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</si>
  <si>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</si>
  <si>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</si>
  <si>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</si>
  <si>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</si>
  <si>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</si>
  <si>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</si>
  <si>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</si>
  <si>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</si>
  <si>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</si>
  <si>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</si>
  <si>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</si>
  <si>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</si>
  <si>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</si>
  <si>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</si>
  <si>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</si>
  <si>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</si>
  <si>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</si>
  <si>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</si>
  <si>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</si>
  <si>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</si>
  <si>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</si>
  <si>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</si>
  <si>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</si>
  <si>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</si>
  <si>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</si>
  <si>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</si>
  <si>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</si>
  <si>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</si>
  <si>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</si>
  <si>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</si>
  <si>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</si>
  <si>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</si>
  <si>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</si>
  <si>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</si>
  <si>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</si>
  <si>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</si>
  <si>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</si>
  <si>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</si>
  <si>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</si>
  <si>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</si>
  <si>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</si>
  <si>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</si>
  <si>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</si>
  <si>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</si>
  <si>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</si>
  <si>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</si>
  <si>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</si>
  <si>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</si>
  <si>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</si>
  <si>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</si>
  <si>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</si>
  <si>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</si>
  <si>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</si>
  <si>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</si>
  <si>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</si>
  <si>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</si>
  <si>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</si>
  <si>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</si>
  <si>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</si>
  <si>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</si>
  <si>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</si>
  <si>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</si>
  <si>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</si>
  <si>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</si>
  <si>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</si>
  <si>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</si>
  <si>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</si>
  <si>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</si>
  <si>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</si>
  <si>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</si>
  <si>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</si>
  <si>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</si>
  <si>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</si>
  <si>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</si>
  <si>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</si>
  <si>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</si>
  <si>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</si>
  <si>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</si>
  <si>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</si>
  <si>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</si>
  <si>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</si>
  <si>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</si>
  <si>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</si>
  <si>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</si>
  <si>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</si>
  <si>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</si>
  <si>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</si>
  <si>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</si>
  <si>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</si>
  <si>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</si>
  <si>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</si>
  <si>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</si>
  <si>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</si>
  <si>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</si>
  <si>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</si>
  <si>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</si>
  <si>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</si>
  <si>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</si>
  <si>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</si>
  <si>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</si>
  <si>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</si>
  <si>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</si>
  <si>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</si>
  <si>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</si>
  <si>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</si>
  <si>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</si>
  <si>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</si>
  <si>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</si>
  <si>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</si>
  <si>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</si>
  <si>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</si>
  <si>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</si>
  <si>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</si>
  <si>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</si>
  <si>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</si>
  <si>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</si>
  <si>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</si>
  <si>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</si>
  <si>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</si>
  <si>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</si>
  <si>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</si>
  <si>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</si>
  <si>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</si>
  <si>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</si>
  <si>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</si>
  <si>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</si>
  <si>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</si>
  <si>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</si>
  <si>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</si>
  <si>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</si>
  <si>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</si>
  <si>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</si>
  <si>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</si>
  <si>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</si>
  <si>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</si>
  <si>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</si>
  <si>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</si>
  <si>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</si>
  <si>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</si>
  <si>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</si>
  <si>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</si>
  <si>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</si>
  <si>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</si>
  <si>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</si>
  <si>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</si>
  <si>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</si>
  <si>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</si>
  <si>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</si>
  <si>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</si>
  <si>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</si>
  <si>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</si>
  <si>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</si>
  <si>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</si>
  <si>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</si>
  <si>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</si>
  <si>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</si>
  <si>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</si>
  <si>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</si>
  <si>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</si>
  <si>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LTE_Band14</t>
  </si>
  <si>
    <t>0x00000202</t>
  </si>
  <si>
    <t>0x00000404</t>
  </si>
  <si>
    <t>0x00000108</t>
  </si>
  <si>
    <t>0x00000010</t>
  </si>
  <si>
    <t>0x00000020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</si>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</sst>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139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84</v>
      </c>
      <c r="C13" s="204" t="s">
        <v>829</v>
      </c>
      <c r="D13" s="205" t="s">
        <v>132</v>
      </c>
      <c r="E13" s="206" t="s">
        <v>136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265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85</v>
      </c>
      <c r="C14" s="204" t="s">
        <v>829</v>
      </c>
      <c r="D14" s="205" t="s">
        <v>133</v>
      </c>
      <c r="E14" s="206" t="s">
        <v>105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264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1528</v>
      </c>
      <c r="M15" s="214" t="s">
        <v>1528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88</v>
      </c>
      <c r="C16" s="204" t="s">
        <v>829</v>
      </c>
      <c r="D16" s="205" t="s">
        <v>27</v>
      </c>
      <c r="E16" s="206" t="s">
        <v>104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264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276</v>
      </c>
      <c r="C17" s="204" t="s">
        <v>829</v>
      </c>
      <c r="D17" s="205" t="s">
        <v>49</v>
      </c>
      <c r="E17" s="206" t="s">
        <v>28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1524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1529</v>
      </c>
      <c r="M18" s="214" t="s">
        <v>1529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89</v>
      </c>
      <c r="C19" s="204" t="s">
        <v>829</v>
      </c>
      <c r="D19" s="205" t="s">
        <v>27</v>
      </c>
      <c r="E19" s="206" t="s">
        <v>104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264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274</v>
      </c>
      <c r="C20" s="204" t="s">
        <v>829</v>
      </c>
      <c r="D20" s="205" t="s">
        <v>101</v>
      </c>
      <c r="E20" s="206" t="s">
        <v>103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265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91</v>
      </c>
      <c r="C21" s="204" t="s">
        <v>829</v>
      </c>
      <c r="D21" s="205" t="s">
        <v>133</v>
      </c>
      <c r="E21" s="206" t="s">
        <v>105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264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278</v>
      </c>
      <c r="C22" s="204" t="s">
        <v>829</v>
      </c>
      <c r="D22" s="205" t="s">
        <v>98</v>
      </c>
      <c r="E22" s="206" t="s">
        <v>134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42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23</v>
      </c>
      <c r="C24" s="204" t="s">
        <v>829</v>
      </c>
      <c r="D24" s="205" t="s">
        <v>100</v>
      </c>
      <c r="E24" s="206" t="s">
        <v>135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267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96</v>
      </c>
      <c r="C25" s="204" t="s">
        <v>829</v>
      </c>
      <c r="D25" s="205" t="s">
        <v>100</v>
      </c>
      <c r="E25" s="206" t="s">
        <v>102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267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275</v>
      </c>
      <c r="C26" s="204" t="s">
        <v>829</v>
      </c>
      <c r="D26" s="205" t="s">
        <v>132</v>
      </c>
      <c r="E26" s="206" t="s">
        <v>136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265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848</v>
      </c>
      <c r="C27" s="204" t="s">
        <v>829</v>
      </c>
      <c r="D27" s="205" t="s">
        <v>99</v>
      </c>
      <c r="E27" s="206" t="s">
        <v>50</v>
      </c>
      <c r="F27" s="207" t="s">
        <v>1527</v>
      </c>
      <c r="G27" s="208" t="s">
        <v>1527</v>
      </c>
      <c r="H27" s="209" t="s">
        <v>852</v>
      </c>
      <c r="I27" s="210" t="s">
        <v>852</v>
      </c>
      <c r="J27" s="211" t="s">
        <v>13</v>
      </c>
      <c r="K27" s="212" t="s">
        <v>264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8gg9jWRzK32i9zuQOE0l8JYqyqUh0xOZR6Z6fFYpfxftTqlGUw3w4t0kXlxBd1Ya/ufYmSZNxiXCybCRHT5sIQ==" saltValue="4SFoyWrB5g1NAay7+EBOI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15</v>
      </c>
      <c r="C4" s="394">
        <v>0</v>
      </c>
      <c r="D4" s="21">
        <v>1</v>
      </c>
      <c r="E4" s="238">
        <v>0</v>
      </c>
      <c r="F4" s="239">
        <v>0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0</v>
      </c>
      <c r="F5" s="239">
        <v>0</v>
      </c>
      <c r="G5" s="240" t="s">
        <v>16</v>
      </c>
      <c r="H5" s="242" t="s">
        <v>29</v>
      </c>
      <c r="I5" s="244" t="s">
        <v>30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FHfraWwjguhCtM0Ga7ZzDRlGPndGxrqJbDe5WvqiR6l47E2S4H0nRl1Sq7M75Jg8HrAXEwXVl6RSuyO3Fd3FHw==" saltValue="1ACxcWmgZHo69DIsFNMlEw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vsX6qEbH8x3C2Hi73xLH+7ocsacKMHnJ1BFKFQGYAGuYGhuQIU2dMIXEfDXf9dkEl0Cp4sYJkDmIG2LnQYh0MA==" saltValue="n3/5OnJUZYktor5h3Yf7I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Kb5c1t97Y6062tsg9qkNPJMNdxFQ473Iju87LhCPxRtqbJZaU/F9JL3SY9VmiUYaEYBx7VDF83YETFPsSpe6zQ==" saltValue="HWXW5cmvRtQsBXJ2Tn4op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1444</v>
      </c>
    </row>
    <row r="14" spans="1:2">
      <c r="A14" s="8" t="s">
        <v>390</v>
      </c>
      <c r="B14" s="271" t="s">
        <v>1445</v>
      </c>
    </row>
    <row r="15" spans="1:2">
      <c r="A15" s="8" t="s">
        <v>391</v>
      </c>
      <c r="B15" s="271" t="s">
        <v>1446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LTE_Band4</v>
      </c>
      <c r="C36" s="273" t="s">
        <v>388</v>
      </c>
      <c r="D36" s="275" t="s">
        <v>388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LTE_Band5</v>
      </c>
      <c r="C37" s="273" t="s">
        <v>389</v>
      </c>
      <c r="D37" s="275" t="s">
        <v>389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LTE_Band12</v>
      </c>
      <c r="C39" s="273" t="s">
        <v>390</v>
      </c>
      <c r="D39" s="275" t="s">
        <v>390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LTE_Band13</v>
      </c>
      <c r="C40" s="273" t="s">
        <v>390</v>
      </c>
      <c r="D40" s="275" t="s">
        <v>390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LTE_Band14</v>
      </c>
      <c r="C41" s="273" t="s">
        <v>390</v>
      </c>
      <c r="D41" s="275" t="s">
        <v>390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LTE_Band17</v>
      </c>
      <c r="C42" s="273" t="s">
        <v>390</v>
      </c>
      <c r="D42" s="275" t="s">
        <v>390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LTE_Band25</v>
      </c>
      <c r="C43" s="273" t="s">
        <v>388</v>
      </c>
      <c r="D43" s="275" t="s">
        <v>388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LTE_Band26</v>
      </c>
      <c r="C44" s="273" t="s">
        <v>389</v>
      </c>
      <c r="D44" s="275" t="s">
        <v>389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LTE_Band30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LTE_Band38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LTE_Band40</v>
      </c>
      <c r="C47" s="273" t="s">
        <v>387</v>
      </c>
      <c r="D47" s="275" t="s">
        <v>387</v>
      </c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LTE_Band41</v>
      </c>
      <c r="C48" s="273" t="s">
        <v>387</v>
      </c>
      <c r="D48" s="275" t="s">
        <v>387</v>
      </c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LTE_Band66</v>
      </c>
      <c r="C49" s="273" t="s">
        <v>388</v>
      </c>
      <c r="D49" s="275" t="s">
        <v>388</v>
      </c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LTE_Band71</v>
      </c>
      <c r="C50" s="273" t="s">
        <v>391</v>
      </c>
      <c r="D50" s="275" t="s">
        <v>391</v>
      </c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buGB7jCrOatJsGmpzGxFe5AkigIt7K2AhmtD+qBspGr3fRNJmmGI+L8S9SwWpfuBOkjrqmKg2wL9VXS7+UUtyw==" saltValue="o02eQCTIydZkbty5ao8Y2g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1447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1447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1447</v>
      </c>
      <c r="C22" s="322" t="s">
        <v>1448</v>
      </c>
      <c r="D22" s="323" t="s">
        <v>613</v>
      </c>
      <c r="E22" s="81"/>
    </row>
    <row r="23" spans="1:5">
      <c r="A23" s="100" t="s">
        <v>499</v>
      </c>
      <c r="B23" s="321" t="s">
        <v>1447</v>
      </c>
      <c r="C23" s="322" t="s">
        <v>1449</v>
      </c>
      <c r="D23" s="323" t="s">
        <v>613</v>
      </c>
      <c r="E23" s="81"/>
    </row>
    <row r="24" spans="1:5">
      <c r="A24" s="100" t="s">
        <v>510</v>
      </c>
      <c r="B24" s="321" t="s">
        <v>1447</v>
      </c>
      <c r="C24" s="322" t="s">
        <v>1450</v>
      </c>
      <c r="D24" s="323" t="s">
        <v>613</v>
      </c>
      <c r="E24" s="81"/>
    </row>
    <row r="25" spans="1:5">
      <c r="A25" s="100" t="s">
        <v>511</v>
      </c>
      <c r="B25" s="321" t="s">
        <v>1447</v>
      </c>
      <c r="C25" s="322" t="s">
        <v>1451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LTE_Band12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LTE_Band13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LTE_Band14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LTE_Band17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LTE_Band30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LTE_Band38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LTE_Band40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LTE_Band41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LTE_Band66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LTE_Band71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5r/Xc+Ky/rViM1WjNrrnHiHV8RjIu8KATfde8ggKK7FYVM2xKt6/CxHpTFConRBBg+IwJI9B/3Cp3KF5ay3dtw==" saltValue="u3Q4bBpR5AHa3Xlgn/r3oA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1422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DsS9m6ngYtDN3xHPR3Nn6lP/ZOrDmPcgRbdEQhp0jODoGvVN7hfZG6kHZyxVEEhvVOzMAiWsltjP+0+rStfj6g==" saltValue="B169QLMUbRlioLWSZ89bRQ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PC2hqjtvL6RJj0FAMt78o6zOJOnHoQtmfpeeLWOsJ/X45g9dI/LfLYWRwMz1F4w1s76H+V6hljgVxZjgc+MXyA==" saltValue="sE3mfF/Dj4lxTqbvXTPFf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1440</v>
      </c>
      <c r="B8" s="147" t="s">
        <v>1441</v>
      </c>
      <c r="C8" s="148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1443</v>
      </c>
      <c r="B12" s="150" t="s">
        <v>1463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4" t="s">
        <v>973</v>
      </c>
      <c r="C21" s="159">
        <v>0</v>
      </c>
      <c r="D21" s="162">
        <v>0</v>
      </c>
      <c r="E21" s="165">
        <v>0</v>
      </c>
      <c r="F21" s="414" t="s">
        <v>973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973</v>
      </c>
      <c r="C27" s="159">
        <v>0</v>
      </c>
      <c r="D27" s="162">
        <v>0</v>
      </c>
      <c r="E27" s="165">
        <v>0</v>
      </c>
      <c r="F27" s="414" t="s">
        <v>973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11" t="str">
        <f>'LTE TRX route'!B13</f>
        <v>LTE_Band4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0" t="str">
        <f>'LTE TRX route'!B14</f>
        <v>LTE_Band5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0" t="str">
        <f>'LTE TRX route'!B15</f>
        <v>LTE_Band8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0" t="str">
        <f>'LTE TRX route'!B16</f>
        <v>LTE_Band12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0" t="str">
        <f>'LTE TRX route'!B17</f>
        <v>LTE_Band13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11" t="str">
        <f>'LTE TRX route'!B18</f>
        <v>LTE_Band14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11" t="str">
        <f>'LTE TRX route'!B19</f>
        <v>LTE_Band17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0" t="str">
        <f>'LTE TRX route'!B20</f>
        <v>LTE_Band25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0" t="str">
        <f>'LTE TRX route'!B21</f>
        <v>LTE_Band26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11" t="str">
        <f>'LTE TRX route'!B22</f>
        <v>LTE_Band30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0" t="str">
        <f>'LTE TRX route'!B23</f>
        <v>LTE_Band38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11" t="str">
        <f>'LTE TRX route'!B24</f>
        <v>LTE_Band40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11" t="str">
        <f>'LTE TRX route'!B25</f>
        <v>LTE_Band41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0" t="str">
        <f>'LTE TRX route'!B26</f>
        <v>LTE_Band66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0" t="str">
        <f>'LTE TRX route'!B27</f>
        <v>LTE_Band71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4" t="s">
        <v>973</v>
      </c>
      <c r="C172" s="177">
        <v>0</v>
      </c>
      <c r="D172" s="179">
        <v>0</v>
      </c>
      <c r="E172" s="181">
        <v>0</v>
      </c>
      <c r="F172" s="414" t="s">
        <v>973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435</v>
      </c>
      <c r="B190" s="414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436</v>
      </c>
      <c r="B196" s="414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437</v>
      </c>
      <c r="B202" s="414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438</v>
      </c>
      <c r="B208" s="414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439</v>
      </c>
      <c r="B214" s="414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441</v>
      </c>
      <c r="B226" s="414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442</v>
      </c>
      <c r="B232" s="414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445</v>
      </c>
      <c r="B250" s="414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4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1466</v>
      </c>
      <c r="B290" s="373"/>
      <c r="C290" s="373"/>
      <c r="D290" s="373"/>
    </row>
    <row r="291" spans="1:4" ht="90.75" thickBot="1">
      <c r="A291" s="374" t="s">
        <v>1467</v>
      </c>
      <c r="B291" s="374" t="s">
        <v>1468</v>
      </c>
      <c r="C291" s="375" t="s">
        <v>1469</v>
      </c>
      <c r="D291" s="373"/>
    </row>
    <row r="292" spans="1:4">
      <c r="A292" s="376" t="s">
        <v>10</v>
      </c>
      <c r="B292" s="377">
        <v>5</v>
      </c>
      <c r="C292" s="377" t="s">
        <v>1470</v>
      </c>
      <c r="D292" s="378" t="s">
        <v>1471</v>
      </c>
    </row>
    <row r="293" spans="1:4">
      <c r="A293" s="379" t="s">
        <v>15</v>
      </c>
      <c r="B293" s="380">
        <v>0</v>
      </c>
      <c r="C293" s="380">
        <v>0</v>
      </c>
      <c r="D293" s="381" t="s">
        <v>1472</v>
      </c>
    </row>
    <row r="294" spans="1:4">
      <c r="A294" s="379" t="s">
        <v>15</v>
      </c>
      <c r="B294" s="380">
        <v>0</v>
      </c>
      <c r="C294" s="380">
        <v>0</v>
      </c>
      <c r="D294" s="381" t="s">
        <v>1473</v>
      </c>
    </row>
    <row r="295" spans="1:4">
      <c r="A295" s="379" t="s">
        <v>15</v>
      </c>
      <c r="B295" s="380">
        <v>0</v>
      </c>
      <c r="C295" s="380">
        <v>0</v>
      </c>
      <c r="D295" s="381" t="s">
        <v>1474</v>
      </c>
    </row>
    <row r="296" spans="1:4">
      <c r="A296" s="379" t="s">
        <v>15</v>
      </c>
      <c r="B296" s="380">
        <v>0</v>
      </c>
      <c r="C296" s="380">
        <v>0</v>
      </c>
      <c r="D296" s="381" t="s">
        <v>1475</v>
      </c>
    </row>
    <row r="297" spans="1:4">
      <c r="A297" s="379" t="s">
        <v>15</v>
      </c>
      <c r="B297" s="380">
        <v>0</v>
      </c>
      <c r="C297" s="380">
        <v>0</v>
      </c>
      <c r="D297" s="381" t="s">
        <v>1476</v>
      </c>
    </row>
    <row r="298" spans="1:4">
      <c r="A298" s="379" t="s">
        <v>15</v>
      </c>
      <c r="B298" s="380">
        <v>0</v>
      </c>
      <c r="C298" s="380">
        <v>0</v>
      </c>
      <c r="D298" s="381" t="s">
        <v>1477</v>
      </c>
    </row>
    <row r="299" spans="1:4">
      <c r="A299" s="379" t="s">
        <v>15</v>
      </c>
      <c r="B299" s="380">
        <v>0</v>
      </c>
      <c r="C299" s="380">
        <v>0</v>
      </c>
      <c r="D299" s="381" t="s">
        <v>1478</v>
      </c>
    </row>
    <row r="300" spans="1:4">
      <c r="A300" s="379" t="s">
        <v>15</v>
      </c>
      <c r="B300" s="380">
        <v>0</v>
      </c>
      <c r="C300" s="380">
        <v>0</v>
      </c>
      <c r="D300" s="381" t="s">
        <v>1479</v>
      </c>
    </row>
    <row r="301" spans="1:4">
      <c r="A301" s="379" t="s">
        <v>15</v>
      </c>
      <c r="B301" s="380">
        <v>0</v>
      </c>
      <c r="C301" s="380">
        <v>0</v>
      </c>
      <c r="D301" s="381" t="s">
        <v>1480</v>
      </c>
    </row>
    <row r="302" spans="1:4">
      <c r="A302" s="379" t="s">
        <v>15</v>
      </c>
      <c r="B302" s="380">
        <v>0</v>
      </c>
      <c r="C302" s="380">
        <v>0</v>
      </c>
      <c r="D302" s="381" t="s">
        <v>1481</v>
      </c>
    </row>
    <row r="303" spans="1:4">
      <c r="A303" s="379" t="s">
        <v>15</v>
      </c>
      <c r="B303" s="380">
        <v>0</v>
      </c>
      <c r="C303" s="380">
        <v>0</v>
      </c>
      <c r="D303" s="381" t="s">
        <v>1482</v>
      </c>
    </row>
    <row r="304" spans="1:4">
      <c r="A304" s="379" t="s">
        <v>15</v>
      </c>
      <c r="B304" s="380">
        <v>0</v>
      </c>
      <c r="C304" s="380">
        <v>0</v>
      </c>
      <c r="D304" s="381" t="s">
        <v>1483</v>
      </c>
    </row>
    <row r="305" spans="1:4">
      <c r="A305" s="379" t="s">
        <v>15</v>
      </c>
      <c r="B305" s="380">
        <v>0</v>
      </c>
      <c r="C305" s="380">
        <v>0</v>
      </c>
      <c r="D305" s="381" t="s">
        <v>1484</v>
      </c>
    </row>
    <row r="306" spans="1:4">
      <c r="A306" s="379" t="s">
        <v>15</v>
      </c>
      <c r="B306" s="380">
        <v>0</v>
      </c>
      <c r="C306" s="380">
        <v>0</v>
      </c>
      <c r="D306" s="381" t="s">
        <v>1485</v>
      </c>
    </row>
    <row r="307" spans="1:4">
      <c r="A307" s="379" t="s">
        <v>15</v>
      </c>
      <c r="B307" s="380">
        <v>0</v>
      </c>
      <c r="C307" s="380">
        <v>0</v>
      </c>
      <c r="D307" s="381" t="s">
        <v>1486</v>
      </c>
    </row>
    <row r="308" spans="1:4">
      <c r="A308" s="379" t="s">
        <v>15</v>
      </c>
      <c r="B308" s="380">
        <v>0</v>
      </c>
      <c r="C308" s="380">
        <v>0</v>
      </c>
      <c r="D308" s="381" t="s">
        <v>1487</v>
      </c>
    </row>
    <row r="309" spans="1:4">
      <c r="A309" s="379" t="s">
        <v>15</v>
      </c>
      <c r="B309" s="380">
        <v>0</v>
      </c>
      <c r="C309" s="380">
        <v>0</v>
      </c>
      <c r="D309" s="381" t="s">
        <v>1488</v>
      </c>
    </row>
    <row r="310" spans="1:4">
      <c r="A310" s="379" t="s">
        <v>15</v>
      </c>
      <c r="B310" s="380">
        <v>0</v>
      </c>
      <c r="C310" s="380">
        <v>0</v>
      </c>
      <c r="D310" s="381" t="s">
        <v>1489</v>
      </c>
    </row>
    <row r="311" spans="1:4">
      <c r="A311" s="379" t="s">
        <v>15</v>
      </c>
      <c r="B311" s="380">
        <v>0</v>
      </c>
      <c r="C311" s="380">
        <v>0</v>
      </c>
      <c r="D311" s="381" t="s">
        <v>1490</v>
      </c>
    </row>
    <row r="312" spans="1:4">
      <c r="A312" s="379" t="s">
        <v>15</v>
      </c>
      <c r="B312" s="380">
        <v>0</v>
      </c>
      <c r="C312" s="380">
        <v>0</v>
      </c>
      <c r="D312" s="381" t="s">
        <v>1491</v>
      </c>
    </row>
    <row r="313" spans="1:4">
      <c r="A313" s="379" t="s">
        <v>15</v>
      </c>
      <c r="B313" s="380">
        <v>0</v>
      </c>
      <c r="C313" s="380">
        <v>0</v>
      </c>
      <c r="D313" s="381" t="s">
        <v>1492</v>
      </c>
    </row>
    <row r="314" spans="1:4">
      <c r="A314" s="379" t="s">
        <v>15</v>
      </c>
      <c r="B314" s="380">
        <v>0</v>
      </c>
      <c r="C314" s="380">
        <v>0</v>
      </c>
      <c r="D314" s="381" t="s">
        <v>1493</v>
      </c>
    </row>
    <row r="315" spans="1:4">
      <c r="A315" s="379" t="s">
        <v>15</v>
      </c>
      <c r="B315" s="380">
        <v>0</v>
      </c>
      <c r="C315" s="380">
        <v>0</v>
      </c>
      <c r="D315" s="381" t="s">
        <v>1494</v>
      </c>
    </row>
    <row r="316" spans="1:4">
      <c r="A316" s="379" t="s">
        <v>15</v>
      </c>
      <c r="B316" s="380">
        <v>0</v>
      </c>
      <c r="C316" s="380">
        <v>0</v>
      </c>
      <c r="D316" s="381" t="s">
        <v>1495</v>
      </c>
    </row>
    <row r="317" spans="1:4">
      <c r="A317" s="379" t="s">
        <v>15</v>
      </c>
      <c r="B317" s="380">
        <v>0</v>
      </c>
      <c r="C317" s="380">
        <v>0</v>
      </c>
      <c r="D317" s="381" t="s">
        <v>1496</v>
      </c>
    </row>
    <row r="318" spans="1:4">
      <c r="A318" s="379" t="s">
        <v>15</v>
      </c>
      <c r="B318" s="380">
        <v>0</v>
      </c>
      <c r="C318" s="380">
        <v>0</v>
      </c>
      <c r="D318" s="381" t="s">
        <v>1497</v>
      </c>
    </row>
    <row r="319" spans="1:4">
      <c r="A319" s="379" t="s">
        <v>15</v>
      </c>
      <c r="B319" s="380">
        <v>0</v>
      </c>
      <c r="C319" s="380">
        <v>0</v>
      </c>
      <c r="D319" s="381" t="s">
        <v>1498</v>
      </c>
    </row>
    <row r="320" spans="1:4">
      <c r="A320" s="379" t="s">
        <v>15</v>
      </c>
      <c r="B320" s="380">
        <v>0</v>
      </c>
      <c r="C320" s="380">
        <v>0</v>
      </c>
      <c r="D320" s="381" t="s">
        <v>1499</v>
      </c>
    </row>
    <row r="321" spans="1:11">
      <c r="A321" s="379" t="s">
        <v>15</v>
      </c>
      <c r="B321" s="380">
        <v>0</v>
      </c>
      <c r="C321" s="380">
        <v>0</v>
      </c>
      <c r="D321" s="381" t="s">
        <v>1500</v>
      </c>
    </row>
    <row r="322" spans="1:11">
      <c r="A322" s="379" t="s">
        <v>15</v>
      </c>
      <c r="B322" s="380">
        <v>0</v>
      </c>
      <c r="C322" s="380">
        <v>0</v>
      </c>
      <c r="D322" s="381" t="s">
        <v>1501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1502</v>
      </c>
    </row>
    <row r="324" spans="1:11">
      <c r="A324" s="379" t="s">
        <v>15</v>
      </c>
      <c r="B324" s="380">
        <v>0</v>
      </c>
      <c r="C324" s="380">
        <v>0</v>
      </c>
      <c r="D324" s="381" t="s">
        <v>1503</v>
      </c>
    </row>
    <row r="325" spans="1:11">
      <c r="A325" s="379" t="s">
        <v>15</v>
      </c>
      <c r="B325" s="380">
        <v>0</v>
      </c>
      <c r="C325" s="380">
        <v>0</v>
      </c>
      <c r="D325" s="381" t="s">
        <v>1504</v>
      </c>
    </row>
    <row r="326" spans="1:11">
      <c r="A326" s="379" t="s">
        <v>15</v>
      </c>
      <c r="B326" s="380">
        <v>0</v>
      </c>
      <c r="C326" s="380">
        <v>0</v>
      </c>
      <c r="D326" s="381" t="s">
        <v>1505</v>
      </c>
    </row>
    <row r="327" spans="1:11">
      <c r="A327" s="379" t="s">
        <v>15</v>
      </c>
      <c r="B327" s="380">
        <v>0</v>
      </c>
      <c r="C327" s="380">
        <v>0</v>
      </c>
      <c r="D327" s="381" t="s">
        <v>1506</v>
      </c>
    </row>
    <row r="328" spans="1:11">
      <c r="A328" s="379" t="s">
        <v>15</v>
      </c>
      <c r="B328" s="380">
        <v>0</v>
      </c>
      <c r="C328" s="380">
        <v>0</v>
      </c>
      <c r="D328" s="381" t="s">
        <v>1507</v>
      </c>
    </row>
    <row r="329" spans="1:11">
      <c r="A329" s="379" t="s">
        <v>15</v>
      </c>
      <c r="B329" s="380">
        <v>0</v>
      </c>
      <c r="C329" s="380">
        <v>0</v>
      </c>
      <c r="D329" s="381" t="s">
        <v>1508</v>
      </c>
    </row>
    <row r="330" spans="1:11">
      <c r="A330" s="379" t="s">
        <v>15</v>
      </c>
      <c r="B330" s="380">
        <v>0</v>
      </c>
      <c r="C330" s="380">
        <v>0</v>
      </c>
      <c r="D330" s="381" t="s">
        <v>1509</v>
      </c>
    </row>
    <row r="331" spans="1:11">
      <c r="A331" s="379" t="s">
        <v>15</v>
      </c>
      <c r="B331" s="380">
        <v>0</v>
      </c>
      <c r="C331" s="380">
        <v>0</v>
      </c>
      <c r="D331" s="381" t="s">
        <v>1510</v>
      </c>
    </row>
    <row r="332" spans="1:11">
      <c r="A332" s="379" t="s">
        <v>15</v>
      </c>
      <c r="B332" s="380">
        <v>0</v>
      </c>
      <c r="C332" s="380">
        <v>0</v>
      </c>
      <c r="D332" s="381" t="s">
        <v>1511</v>
      </c>
    </row>
    <row r="333" spans="1:11">
      <c r="A333" s="379" t="s">
        <v>15</v>
      </c>
      <c r="B333" s="380">
        <v>0</v>
      </c>
      <c r="C333" s="380">
        <v>0</v>
      </c>
      <c r="D333" s="381" t="s">
        <v>1512</v>
      </c>
    </row>
    <row r="334" spans="1:11">
      <c r="A334" s="379" t="s">
        <v>15</v>
      </c>
      <c r="B334" s="380">
        <v>0</v>
      </c>
      <c r="C334" s="380">
        <v>0</v>
      </c>
      <c r="D334" s="381" t="s">
        <v>1513</v>
      </c>
    </row>
    <row r="335" spans="1:11">
      <c r="A335" s="379" t="s">
        <v>15</v>
      </c>
      <c r="B335" s="380">
        <v>0</v>
      </c>
      <c r="C335" s="380">
        <v>0</v>
      </c>
      <c r="D335" s="381" t="s">
        <v>1514</v>
      </c>
    </row>
    <row r="336" spans="1:11">
      <c r="A336" s="379" t="s">
        <v>15</v>
      </c>
      <c r="B336" s="380">
        <v>0</v>
      </c>
      <c r="C336" s="380">
        <v>0</v>
      </c>
      <c r="D336" s="381" t="s">
        <v>1515</v>
      </c>
    </row>
    <row r="337" spans="1:4">
      <c r="A337" s="379" t="s">
        <v>15</v>
      </c>
      <c r="B337" s="380">
        <v>0</v>
      </c>
      <c r="C337" s="380">
        <v>0</v>
      </c>
      <c r="D337" s="381" t="s">
        <v>1516</v>
      </c>
    </row>
    <row r="338" spans="1:4">
      <c r="A338" s="379" t="s">
        <v>15</v>
      </c>
      <c r="B338" s="380">
        <v>0</v>
      </c>
      <c r="C338" s="380">
        <v>0</v>
      </c>
      <c r="D338" s="381" t="s">
        <v>1517</v>
      </c>
    </row>
    <row r="339" spans="1:4">
      <c r="A339" s="379" t="s">
        <v>15</v>
      </c>
      <c r="B339" s="380">
        <v>0</v>
      </c>
      <c r="C339" s="380">
        <v>0</v>
      </c>
      <c r="D339" s="381" t="s">
        <v>1518</v>
      </c>
    </row>
    <row r="340" spans="1:4">
      <c r="A340" s="379" t="s">
        <v>15</v>
      </c>
      <c r="B340" s="380">
        <v>0</v>
      </c>
      <c r="C340" s="380">
        <v>0</v>
      </c>
      <c r="D340" s="381" t="s">
        <v>1519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1520</v>
      </c>
    </row>
  </sheetData>
  <sheetProtection algorithmName="SHA-512" hashValue="oLRELin8R+T+JeHZ1QY23PkIKP9ksT4ditzPw4Tk1xBvO1TcpOq7UrwTn+M899DiKxfKoF0CrVmr1Uj3rxM1eQ==" saltValue="qP8C5/R8wypQzdOCE6FLng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SmlcxTeZF64uRwHQjiSTNskUt6V8Dq/XJwH4+xs/eIGpq0cF2IU0w5msiMveZEXFOSiCQy4rK2uNH6mHdwGH2w==" saltValue="3nVyI8ppZMCPvmgbc+DM5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LTE_Band12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LTE_Band13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LTE_Band14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LTE_Band17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LTE_Band30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LTE_Band38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LTE_Band66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LTE_Band71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zA4HC339gpp8+dwy+HjSGAR1rDU4SZ1Rzp+nYdbKLyeZzF0m6jbtNk6GD0Qax40Zs14J/9Th5QFW6GylDJgiug==" saltValue="hI9R2OJZt5DFFdIVV/Yjj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LTE_Band12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LTE_Band13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LTE_Band14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LTE_Band17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LTE_Band30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LTE_Band38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LTE_Band40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LTE_Band41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LTE_Band66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LTE_Band71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Fq+QNDVM0rcSjm8RM9uz/rNKKBgcPyS/HngfP+gIrXhqmUCDVpjrYRMnCLVzb7WX7OSKLjBOuv2NyT6Kft2JCQ==" saltValue="Dlou2p3/tGz193HVRBs8b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WcadaDof6j38qbZHMNpOAkVtJm74buyd0pRYsTAqAyzn8GVl5UQPBKQQVB0VxY9YU2TGazolZ0m61w01McaPog==" saltValue="0a3Sj6qhHzTrWZ+U9RTwJ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e6GEYsfr6FsFDG8xISGA70JPlfhByWWD9XolJQJm/Nl9MxbSpkBObS9n94yVUdFD26PI3INMXW0U8/M0y289jA==" saltValue="RaQD6ITKF++GtDA3aJv71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7" sqref="B307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1521</v>
      </c>
      <c r="B3" s="370" t="s">
        <v>1530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5" t="s">
        <v>688</v>
      </c>
      <c r="B61" s="365" t="s">
        <v>1452</v>
      </c>
    </row>
    <row r="62" spans="1:2">
      <c r="A62" s="365" t="s">
        <v>1454</v>
      </c>
      <c r="B62" s="365" t="s">
        <v>1452</v>
      </c>
    </row>
    <row r="63" spans="1:2">
      <c r="A63" s="365" t="s">
        <v>1455</v>
      </c>
      <c r="B63" s="365" t="s">
        <v>1452</v>
      </c>
    </row>
    <row r="64" spans="1:2">
      <c r="A64" s="365" t="s">
        <v>1456</v>
      </c>
      <c r="B64" s="365" t="s">
        <v>1452</v>
      </c>
    </row>
    <row r="65" spans="1:3">
      <c r="A65" s="365" t="s">
        <v>713</v>
      </c>
      <c r="B65" s="365" t="s">
        <v>1452</v>
      </c>
    </row>
    <row r="66" spans="1:3">
      <c r="A66" s="370" t="s">
        <v>1301</v>
      </c>
      <c r="B66" s="370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1457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1458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1457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1458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1531</v>
      </c>
    </row>
    <row r="322" spans="1:4">
      <c r="A322" s="70"/>
      <c r="B322" s="137"/>
      <c r="C322" s="70"/>
      <c r="D322" s="11"/>
    </row>
  </sheetData>
  <sheetProtection algorithmName="SHA-512" hashValue="y06Z3aI0QEYVdPrdeCuvYLawLkqfGDF1/rOAO1ur2NWCKFg/J0TaQi0mn0DZAXmbCsDKoMSn9QDc07B9yEUbSg==" saltValue="f+6dnCLGyuZod13npOnEh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1462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1434</v>
      </c>
    </row>
    <row r="4" spans="1:23" s="370" customFormat="1">
      <c r="A4" s="132"/>
      <c r="B4" s="367" t="s">
        <v>1521</v>
      </c>
      <c r="C4" s="385">
        <v>43136</v>
      </c>
      <c r="D4" s="386" t="s">
        <v>1522</v>
      </c>
      <c r="E4" s="386" t="s">
        <v>1523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1453</v>
      </c>
      <c r="C5" s="371">
        <v>43077</v>
      </c>
      <c r="D5" s="133" t="s">
        <v>1431</v>
      </c>
      <c r="E5" s="369" t="s">
        <v>1461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1453</v>
      </c>
      <c r="C6" s="368">
        <v>43068</v>
      </c>
      <c r="D6" s="369" t="s">
        <v>1459</v>
      </c>
      <c r="E6" s="369" t="s">
        <v>1460</v>
      </c>
    </row>
    <row r="7" spans="1:23">
      <c r="B7" s="425" t="s">
        <v>1433</v>
      </c>
      <c r="C7" s="428" t="s">
        <v>1435</v>
      </c>
      <c r="D7" s="133" t="s">
        <v>1423</v>
      </c>
      <c r="E7" s="133" t="s">
        <v>1428</v>
      </c>
    </row>
    <row r="8" spans="1:23">
      <c r="B8" s="426"/>
      <c r="C8" s="429"/>
      <c r="D8" s="133" t="s">
        <v>1430</v>
      </c>
      <c r="E8" s="133" t="s">
        <v>1432</v>
      </c>
    </row>
    <row r="9" spans="1:23">
      <c r="B9" s="426"/>
      <c r="C9" s="429"/>
      <c r="D9" s="133" t="s">
        <v>1431</v>
      </c>
      <c r="E9" s="133" t="s">
        <v>1432</v>
      </c>
    </row>
    <row r="10" spans="1:23">
      <c r="B10" s="426"/>
      <c r="C10" s="429"/>
      <c r="D10" s="133" t="s">
        <v>1424</v>
      </c>
      <c r="E10" s="133" t="s">
        <v>1429</v>
      </c>
    </row>
    <row r="11" spans="1:23">
      <c r="B11" s="426"/>
      <c r="C11" s="429"/>
      <c r="D11" s="133" t="s">
        <v>1425</v>
      </c>
      <c r="E11" s="133" t="s">
        <v>1429</v>
      </c>
    </row>
    <row r="12" spans="1:23">
      <c r="B12" s="426"/>
      <c r="C12" s="429"/>
      <c r="D12" s="133" t="s">
        <v>1426</v>
      </c>
      <c r="E12" s="133" t="s">
        <v>1429</v>
      </c>
    </row>
    <row r="13" spans="1:23">
      <c r="B13" s="427"/>
      <c r="C13" s="430"/>
      <c r="D13" s="133" t="s">
        <v>1427</v>
      </c>
      <c r="E13" s="133" t="s">
        <v>1429</v>
      </c>
    </row>
    <row r="14" spans="1:23">
      <c r="B14" s="134" t="s">
        <v>1439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1438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1437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1436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VepphZhyjkCS0HmvCOFAfLDALYWsB1rw/hFoLLhDjIMlqzrcMqso0tlj0KoEkSXTB5ZfCAg6Abe8ZxDtj0YdQA==" saltValue="1n8vsy4K8Ga4JJYXMgCvBg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
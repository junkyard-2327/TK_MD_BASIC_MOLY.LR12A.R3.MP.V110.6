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2_LTE_MT6177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<sst xmlns="http://schemas.openxmlformats.org/spreadsheetml/2006/main" count="8121" uniqueCount="1781">
  <si>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</si>
  <si>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</si>
  <si>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</si>
  <si>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</si>
  <si>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</si>
  <si>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</si>
  <si>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</si>
  <si>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</si>
  <si>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</si>
  <si>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</si>
  <si>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</si>
  <si>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</si>
  <si>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</si>
  <si>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</si>
  <si>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</si>
  <si>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</si>
  <si>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</si>
  <si>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</si>
  <si>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</si>
  <si>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</si>
  <si>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</si>
  <si>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</si>
  <si>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</si>
  <si>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</si>
  <si>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</si>
  <si>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</si>
  <si>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</si>
  <si>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</si>
  <si>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</si>
  <si>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</si>
  <si>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</si>
  <si>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</si>
  <si>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</si>
  <si>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</si>
  <si>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</si>
  <si>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</si>
  <si>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</si>
  <si>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</si>
  <si>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</si>
  <si>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</si>
  <si>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</si>
  <si>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</si>
  <si>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</si>
  <si>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</si>
  <si>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</si>
  <si>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</si>
  <si>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</si>
  <si>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</si>
  <si>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</si>
  <si>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</si>
  <si>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</si>
  <si>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</si>
  <si>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</si>
  <si>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</si>
  <si>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</si>
  <si>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</si>
  <si>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</si>
  <si>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</si>
  <si>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</si>
  <si>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</si>
  <si>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</si>
  <si>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</si>
  <si>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</si>
  <si>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</si>
  <si>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</si>
  <si>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</si>
  <si>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</si>
  <si>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</si>
  <si>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</si>
  <si>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</si>
  <si>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</si>
  <si>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</si>
  <si>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</si>
  <si>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</si>
  <si>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</si>
  <si>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</si>
  <si>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</si>
  <si>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</si>
  <si>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</si>
  <si>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</si>
  <si>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</si>
  <si>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</si>
  <si>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</si>
  <si>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</si>
  <si>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</si>
  <si>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</si>
  <si>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</si>
  <si>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</si>
  <si>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</si>
  <si>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</si>
  <si>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</si>
  <si>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</si>
  <si>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</si>
  <si>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</si>
  <si>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</si>
  <si>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</si>
  <si>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</si>
  <si>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</si>
  <si>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</si>
  <si>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</si>
  <si>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</si>
  <si>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</si>
  <si>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</si>
  <si>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</si>
  <si>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</si>
  <si>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</si>
  <si>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</si>
  <si>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</si>
  <si>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</si>
  <si>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</si>
  <si>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</si>
  <si>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</si>
  <si>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</si>
  <si>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</si>
  <si>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</si>
  <si>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</si>
  <si>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</si>
  <si>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</si>
  <si>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</si>
  <si>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</si>
  <si>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</si>
  <si>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</si>
  <si>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</si>
  <si>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</si>
  <si>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</si>
  <si>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</si>
  <si>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</si>
  <si>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</si>
  <si>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</si>
  <si>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</si>
  <si>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</si>
  <si>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</si>
  <si>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</si>
  <si>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</si>
  <si>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</si>
  <si>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</si>
  <si>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</si>
  <si>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</si>
  <si>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</si>
  <si>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</si>
  <si>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</si>
  <si>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</si>
  <si>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</si>
  <si>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</si>
  <si>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</si>
  <si>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</si>
  <si>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</si>
  <si>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</si>
  <si>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</si>
  <si>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</si>
  <si>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</si>
  <si>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</si>
  <si>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</si>
  <si>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</si>
  <si>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</si>
  <si>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</si>
  <si>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</si>
  <si>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</si>
  <si>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</si>
  <si>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</si>
  <si>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</si>
  <si>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</si>
  <si>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</si>
  <si>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</si>
  <si>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</si>
  <si>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</si>
  <si>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</si>
  <si>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</si>
  <si>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</si>
  <si>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</si>
  <si>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</si>
  <si>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</si>
  <si>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</si>
  <si>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</si>
  <si>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</si>
  <si>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</si>
  <si>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</si>
  <si>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</si>
  <si>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</si>
  <si>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</si>
  <si>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</si>
  <si>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</si>
  <si>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</si>
  <si>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</si>
  <si>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</si>
  <si>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</si>
  <si>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</si>
  <si>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</si>
  <si>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</si>
  <si>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</si>
  <si>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</si>
  <si>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</si>
  <si>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</si>
  <si>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</si>
  <si>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</si>
  <si>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</si>
  <si>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</si>
  <si>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</si>
  <si>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</si>
  <si>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</si>
  <si>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</si>
  <si>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</si>
  <si>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</si>
  <si>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</si>
  <si>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</si>
  <si>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</si>
  <si>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</si>
  <si>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</si>
  <si>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</si>
  <si>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</si>
  <si>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</si>
  <si>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</si>
  <si>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</si>
  <si>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</si>
  <si>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</si>
  <si>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</si>
  <si>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</si>
  <si>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</si>
  <si>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</si>
  <si>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</si>
  <si>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</si>
  <si>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</si>
  <si>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</si>
  <si>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</si>
  <si>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</si>
  <si>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</si>
  <si>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</si>
  <si>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</si>
  <si>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</si>
  <si>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</si>
  <si>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</si>
  <si>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</si>
  <si>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</si>
  <si>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</si>
  <si>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</si>
  <si>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</si>
  <si>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</si>
  <si>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</si>
  <si>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</si>
  <si>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</si>
  <si>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</si>
  <si>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</si>
  <si>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</si>
  <si>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</si>
  <si>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</si>
  <si>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</si>
  <si>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</si>
  <si>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</si>
  <si>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</si>
  <si>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</si>
  <si>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</si>
  <si>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</si>
  <si>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</si>
  <si>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</si>
  <si>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</si>
  <si>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</si>
  <si>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</si>
  <si>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</si>
  <si>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</si>
  <si>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</si>
  <si>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</si>
  <si>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</si>
  <si>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</si>
  <si>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</si>
  <si>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</si>
  <si>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</si>
  <si>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</si>
  <si>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</si>
  <si>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</si>
  <si>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</si>
  <si>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</si>
  <si>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</si>
  <si>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</si>
  <si>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</si>
  <si>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</si>
  <si>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</si>
  <si>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</si>
  <si>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</si>
  <si>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</si>
  <si>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</si>
  <si>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</si>
  <si>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</si>
  <si>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</si>
  <si>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</si>
  <si>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</si>
  <si>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</si>
  <si>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</si>
  <si>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</si>
  <si>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</si>
  <si>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</si>
  <si>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</si>
  <si>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</si>
  <si>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</si>
  <si>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</si>
  <si>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</si>
  <si>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</si>
  <si>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</si>
  <si>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</si>
  <si>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</si>
  <si>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</si>
  <si>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</si>
  <si>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</si>
  <si>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</si>
  <si>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</si>
  <si>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</si>
  <si>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</si>
  <si>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</si>
  <si>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</si>
  <si>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</si>
  <si>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</si>
  <si>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</si>
  <si>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</si>
  <si>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</si>
  <si>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</si>
  <si>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</si>
  <si>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</si>
  <si>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</si>
  <si>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</si>
  <si>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</si>
  <si>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</si>
  <si>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</si>
  <si>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</si>
  <si>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</si>
  <si>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</si>
  <si>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</si>
  <si>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</si>
  <si>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</si>
  <si>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</si>
  <si>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</si>
  <si>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</si>
  <si>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</si>
  <si>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</si>
  <si>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</si>
  <si>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</si>
  <si>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</si>
  <si>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</si>
  <si>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</si>
  <si>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</si>
  <si>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</si>
  <si>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</si>
  <si>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</si>
  <si>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</si>
  <si>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</si>
  <si>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</si>
  <si>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</si>
  <si>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</si>
  <si>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</si>
  <si>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</si>
  <si>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</si>
  <si>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</si>
  <si>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</si>
  <si>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</si>
  <si>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</si>
  <si>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</si>
  <si>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</si>
  <si>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</si>
  <si>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</si>
  <si>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</si>
  <si>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</si>
  <si>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</si>
  <si>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</si>
  <si>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</si>
  <si>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</si>
  <si>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</si>
  <si>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</si>
  <si>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</si>
  <si>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</si>
  <si>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</si>
  <si>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</si>
  <si>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</si>
  <si>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</si>
  <si>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</si>
  <si>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</si>
  <si>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</si>
  <si>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</si>
  <si>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</si>
  <si>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</si>
  <si>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</si>
  <si>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</si>
  <si>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</si>
  <si>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</si>
  <si>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</si>
  <si>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</si>
  <si>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</si>
  <si>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</si>
  <si>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</si>
  <si>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</si>
  <si>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</si>
  <si>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</si>
  <si>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</si>
  <si>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</si>
  <si>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</si>
  <si>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</si>
  <si>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</si>
  <si>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</si>
  <si>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</si>
  <si>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</si>
  <si>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</si>
  <si>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</si>
  <si>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</si>
  <si>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</si>
  <si>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</si>
  <si>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</si>
  <si>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</si>
  <si>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</si>
  <si>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</si>
  <si>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</si>
  <si>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</si>
  <si>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</si>
  <si>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</si>
  <si>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</si>
  <si>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</si>
  <si>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</si>
  <si>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</si>
  <si>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</si>
  <si>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</si>
  <si>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</si>
  <si>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</si>
  <si>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</si>
  <si>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</si>
  <si>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</si>
  <si>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</si>
  <si>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</si>
  <si>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</si>
  <si>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</si>
  <si>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</si>
  <si>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</si>
  <si>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</si>
  <si>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</si>
  <si>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</si>
  <si>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</si>
  <si>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</si>
  <si>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</si>
  <si>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</si>
  <si>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</si>
  <si>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</si>
  <si>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</si>
  <si>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</si>
  <si>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</si>
  <si>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</si>
  <si>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</si>
  <si>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</si>
  <si>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</si>
  <si>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</si>
  <si>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</si>
  <si>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</si>
  <si>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</si>
  <si>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</si>
  <si>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</si>
  <si>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</si>
  <si>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</si>
  <si>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</si>
  <si>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</si>
  <si>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</si>
  <si>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</si>
  <si>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</si>
  <si>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</si>
  <si>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</si>
  <si>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</si>
  <si>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</si>
  <si>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</si>
  <si>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</si>
  <si>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</si>
  <si>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</si>
  <si>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</si>
  <si>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</si>
  <si>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</si>
  <si>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</si>
  <si>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</si>
  <si>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</si>
  <si>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</si>
  <si>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</si>
  <si>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</si>
  <si>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</si>
  <si>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</si>
  <si>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</si>
  <si>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</si>
  <si>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</si>
  <si>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</si>
  <si>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</si>
  <si>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</si>
  <si>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</si>
  <si>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</si>
  <si>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</si>
  <si>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</si>
  <si>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</si>
  <si>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</si>
  <si>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</si>
  <si>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</si>
  <si>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</si>
  <si>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</si>
  <si>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</si>
  <si>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</si>
  <si>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</si>
  <si>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</si>
  <si>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</si>
  <si>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</si>
  <si>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</si>
  <si>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</si>
  <si>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</si>
  <si>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</si>
  <si>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</si>
  <si>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</si>
  <si>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</si>
  <si>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</si>
  <si>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</si>
  <si>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</si>
  <si>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</si>
  <si>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</si>
  <si>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</si>
  <si>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</si>
  <si>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</si>
  <si>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</si>
  <si>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</si>
  <si>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</si>
  <si>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</si>
  <si>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</si>
  <si>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</si>
  <si>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</si>
  <si>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</si>
  <si>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</si>
  <si>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</si>
  <si>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</si>
  <si>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</si>
  <si>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</si>
  <si>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</si>
  <si>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</si>
  <si>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</si>
  <si>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</si>
  <si>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</si>
  <si>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</si>
  <si>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</si>
  <si>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</si>
  <si>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</si>
  <si>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</si>
  <si>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</si>
  <si>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</si>
  <si>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</si>
  <si>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</si>
  <si>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</si>
  <si>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</si>
  <si>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</si>
  <si>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</si>
  <si>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</si>
  <si>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</si>
  <si>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</si>
  <si>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</si>
  <si>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</si>
  <si>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</si>
  <si>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</si>
  <si>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</si>
  <si>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</si>
  <si>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</si>
  <si>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</si>
  <si>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</si>
  <si>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</si>
  <si>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</si>
  <si>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</si>
  <si>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</si>
  <si>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</si>
  <si>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</si>
  <si>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</si>
  <si>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</si>
  <si>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</si>
  <si>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</si>
  <si>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</si>
  <si>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</si>
  <si>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</si>
  <si>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</si>
  <si>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</si>
  <si>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</si>
  <si>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</si>
  <si>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</si>
  <si>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</si>
  <si>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</si>
  <si>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</si>
  <si>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</si>
  <si>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</si>
  <si>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</si>
  <si>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</si>
  <si>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</si>
  <si>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</si>
  <si>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</si>
  <si>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</si>
  <si>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</si>
  <si>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</si>
  <si>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</si>
  <si>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</si>
  <si>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</si>
  <si>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</si>
  <si>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</si>
  <si>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</si>
  <si>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</si>
  <si>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</si>
  <si>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</si>
  <si>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</si>
  <si>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</si>
  <si>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</si>
  <si>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</si>
  <si>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</si>
  <si>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</si>
  <si>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</si>
  <si>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</si>
  <si>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</si>
  <si>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</si>
  <si>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</si>
  <si>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</si>
  <si>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</si>
  <si>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</si>
  <si>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</si>
  <si>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</si>
  <si>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</si>
  <si>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</si>
  <si>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</si>
  <si>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</si>
  <si>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</si>
  <si>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</si>
  <si>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</si>
  <si>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</si>
  <si>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</si>
  <si>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</si>
  <si>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</si>
  <si>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</si>
  <si>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</si>
  <si>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</si>
  <si>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</si>
  <si>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</si>
  <si>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</si>
  <si>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</si>
  <si>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</si>
  <si>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</si>
  <si>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</si>
  <si>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</si>
  <si>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</si>
  <si>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</si>
  <si>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</si>
  <si>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</si>
  <si>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</si>
  <si>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</si>
  <si>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</si>
  <si>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</si>
  <si>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</si>
  <si>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</si>
  <si>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</si>
  <si>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</si>
  <si>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</si>
  <si>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</si>
  <si>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</si>
  <si>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</si>
  <si>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</si>
  <si>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</si>
  <si>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</si>
  <si>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</si>
  <si>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</si>
  <si>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</si>
  <si>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</si>
  <si>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</si>
  <si>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</si>
  <si>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</si>
  <si>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</si>
  <si>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</si>
  <si>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</si>
  <si>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</si>
  <si>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</si>
  <si>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</si>
  <si>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</si>
  <si>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</si>
  <si>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</si>
  <si>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</si>
  <si>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</si>
  <si>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</si>
  <si>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</si>
  <si>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</si>
  <si>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</si>
  <si>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</si>
  <si>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</si>
  <si>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</si>
  <si>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</si>
  <si>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</si>
  <si>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</si>
  <si>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</si>
  <si>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</si>
  <si>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</si>
  <si>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</si>
  <si>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</si>
  <si>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</si>
  <si>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</si>
  <si>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</si>
  <si>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</si>
  <si>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</si>
  <si>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</si>
  <si>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</si>
  <si>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</si>
  <si>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</si>
  <si>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</si>
  <si>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</si>
  <si>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</si>
  <si>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</si>
  <si>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</si>
  <si>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</si>
  <si>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</si>
  <si>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</si>
  <si>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</si>
  <si>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</si>
  <si>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</si>
  <si>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</si>
  <si>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</si>
  <si>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</si>
  <si>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</si>
  <si>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</si>
  <si>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</si>
  <si>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</si>
  <si>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</si>
  <si>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</si>
  <si>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</si>
  <si>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</si>
  <si>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</si>
  <si>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</si>
  <si>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</si>
  <si>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</si>
  <si>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</si>
  <si>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</si>
  <si>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</si>
  <si>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</si>
  <si>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</si>
  <si>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</si>
  <si>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</si>
  <si>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</si>
  <si>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</si>
  <si>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</si>
  <si>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</si>
  <si>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</si>
  <si>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</si>
  <si>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</si>
  <si>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</si>
  <si>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</si>
  <si>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</si>
  <si>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</si>
  <si>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</si>
  <si>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</si>
  <si>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</si>
  <si>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</si>
  <si>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</si>
  <si>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</si>
  <si>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</si>
  <si>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</si>
  <si>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</si>
  <si>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</si>
  <si>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</si>
  <si>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</si>
  <si>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</si>
  <si>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</si>
  <si>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</si>
  <si>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</si>
  <si>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</si>
  <si>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</si>
  <si>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</si>
  <si>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</si>
  <si>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</si>
  <si>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</si>
  <si>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</si>
  <si>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</si>
  <si>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</si>
  <si>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</si>
  <si>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</si>
  <si>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</si>
  <si>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</si>
  <si>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</si>
  <si>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</si>
  <si>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</si>
  <si>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</si>
  <si>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</si>
  <si>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</si>
  <si>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</si>
  <si>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</si>
  <si>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</si>
  <si>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</si>
  <si>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</si>
  <si>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</si>
  <si>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</si>
  <si>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</si>
  <si>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</si>
  <si>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</si>
  <si>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</si>
  <si>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</si>
  <si>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</si>
  <si>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</si>
  <si>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</si>
  <si>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</si>
  <si>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</si>
  <si>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</si>
  <si>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</si>
  <si>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</si>
  <si>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</si>
  <si>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</si>
  <si>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</si>
  <si>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</si>
  <si>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</si>
  <si>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</si>
  <si>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</si>
  <si>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</si>
  <si>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</si>
  <si>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</si>
  <si>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</si>
  <si>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</si>
  <si>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</si>
  <si>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</si>
  <si>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</si>
  <si>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</si>
  <si>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</si>
  <si>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</si>
  <si>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</si>
  <si>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</si>
  <si>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</si>
  <si>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</si>
  <si>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</si>
  <si>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</si>
  <si>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</si>
  <si>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</si>
  <si>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</si>
  <si>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</si>
  <si>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</si>
  <si>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</si>
  <si>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</si>
  <si>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</si>
  <si>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</si>
  <si>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</si>
  <si>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</si>
  <si>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</si>
  <si>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</si>
  <si>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</si>
  <si>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</si>
  <si>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</si>
  <si>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</si>
  <si>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</si>
  <si>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</si>
  <si>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</si>
  <si>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</si>
  <si>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</si>
  <si>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</si>
  <si>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</si>
  <si>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</si>
  <si>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</si>
  <si>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</si>
  <si>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</si>
  <si>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</si>
  <si>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</si>
  <si>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</si>
  <si>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</si>
  <si>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</si>
  <si>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</si>
  <si>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</si>
  <si>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</si>
  <si>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</si>
  <si>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</si>
  <si>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</si>
  <si>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</si>
  <si>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</si>
  <si>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</si>
  <si>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</si>
  <si>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</si>
  <si>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</si>
  <si>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</si>
  <si>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</si>
  <si>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</si>
  <si>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</si>
  <si>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</si>
  <si>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</si>
  <si>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</si>
  <si>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</si>
  <si>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</si>
  <si>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</si>
  <si>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</si>
  <si>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</si>
  <si>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</si>
  <si>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</si>
  <si>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</si>
  <si>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</si>
  <si>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</si>
  <si>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</si>
  <si>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</si>
  <si>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</si>
  <si>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</si>
  <si>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</si>
  <si>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</si>
  <si>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</si>
  <si>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</si>
  <si>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</si>
  <si>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</si>
  <si>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</si>
  <si>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</si>
  <si>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</si>
  <si>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</si>
  <si>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</si>
  <si>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</si>
  <si>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</si>
  <si>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</si>
  <si>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</si>
  <si>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</si>
  <si>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</si>
  <si>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</si>
  <si>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</si>
  <si>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</si>
  <si>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</si>
  <si>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</si>
  <si>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</si>
  <si>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</si>
  <si>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</si>
  <si>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</si>
  <si>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</si>
  <si>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</si>
  <si>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</si>
  <si>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</si>
  <si>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</si>
  <si>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</si>
  <si>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</si>
  <si>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</si>
  <si>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</si>
  <si>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</si>
  <si>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</si>
  <si>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</si>
  <si>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</si>
  <si>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</si>
  <si>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</si>
  <si>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</si>
  <si>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</si>
  <si>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</si>
  <si>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</si>
  <si>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</si>
  <si>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</si>
  <si>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</si>
  <si>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</si>
  <si>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</si>
  <si>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</si>
  <si>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</si>
  <si>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</si>
  <si>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</si>
  <si>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</si>
  <si>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</si>
  <si>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</si>
  <si>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</si>
  <si>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</si>
  <si>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</si>
  <si>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</si>
  <si>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</si>
  <si>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</si>
  <si>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</si>
  <si>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</si>
  <si>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</si>
  <si>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</si>
  <si>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</si>
  <si>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</si>
  <si>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</si>
  <si>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</si>
  <si>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</si>
  <si>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</si>
  <si>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</si>
  <si>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</si>
  <si>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</si>
  <si>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</si>
  <si>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</si>
  <si>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</si>
  <si>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</si>
  <si>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</si>
  <si>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</si>
  <si>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</si>
  <si>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</si>
  <si>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</si>
  <si>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</si>
  <si>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</si>
  <si>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</si>
  <si>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</si>
  <si>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</si>
  <si>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</si>
  <si>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</si>
  <si>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</si>
  <si>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</si>
  <si>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</si>
  <si>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</si>
  <si>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</si>
  <si>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</si>
  <si>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</si>
  <si>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</si>
  <si>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</si>
  <si>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</si>
  <si>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</si>
  <si>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</si>
  <si>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</si>
  <si>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</si>
  <si>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</si>
  <si>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</si>
  <si>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</si>
  <si>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</si>
  <si>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</si>
  <si>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</si>
  <si>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</si>
  <si>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</si>
  <si>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</si>
  <si>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</si>
  <si>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</si>
  <si>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</si>
  <si>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</si>
  <si>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</si>
  <si>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</si>
  <si>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</si>
  <si>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</si>
  <si>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</si>
  <si>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</si>
  <si>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</si>
  <si>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</si>
  <si>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</si>
  <si>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</si>
  <si>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</si>
  <si>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</si>
  <si>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</si>
  <si>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</si>
  <si>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</si>
  <si>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</si>
  <si>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</si>
  <si>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</si>
  <si>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</si>
  <si>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</si>
  <si>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</si>
  <si>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</si>
  <si>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</si>
  <si>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</si>
  <si>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</si>
  <si>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</si>
  <si>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</si>
  <si>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</si>
  <si>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</si>
  <si>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</si>
  <si>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</si>
  <si>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</si>
  <si>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</si>
  <si>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</si>
  <si>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</si>
  <si>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</si>
  <si>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</si>
  <si>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</si>
  <si>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</si>
  <si>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</si>
  <si>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</si>
  <si>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</si>
  <si>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</si>
  <si>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</si>
  <si>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</si>
  <si>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</si>
  <si>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</si>
  <si>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</si>
  <si>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</si>
  <si>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</si>
  <si>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</si>
  <si>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</si>
  <si>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</si>
  <si>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</si>
  <si>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</si>
  <si>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</si>
  <si>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</si>
  <si>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</si>
  <si>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</si>
  <si>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</si>
  <si>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</si>
  <si>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</si>
  <si>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</si>
  <si>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</si>
  <si>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</si>
  <si>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</si>
  <si>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</si>
  <si>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</si>
  <si>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</si>
  <si>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</si>
  <si>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</si>
  <si>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</si>
  <si>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</si>
  <si>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</si>
  <si>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</si>
  <si>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</si>
  <si>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</si>
  <si>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</si>
  <si>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</si>
  <si>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</si>
  <si>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</si>
  <si>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</si>
  <si>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</si>
  <si>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</si>
  <si>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</si>
  <si>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</si>
  <si>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</si>
  <si>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</si>
  <si>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</si>
  <si>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</si>
  <si>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</si>
  <si>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</si>
  <si>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</si>
  <si>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</si>
  <si>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</si>
  <si>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</si>
  <si>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</si>
  <si>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</si>
  <si>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</si>
  <si>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</si>
  <si>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</si>
  <si>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</si>
  <si>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</si>
  <si>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</si>
  <si>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</si>
  <si>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</si>
  <si>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</si>
  <si>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</si>
  <si>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</si>
  <si>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</si>
  <si>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</si>
  <si>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</si>
  <si>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</si>
  <si>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</si>
  <si>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</si>
  <si>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</si>
  <si>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</si>
  <si>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</si>
  <si>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</si>
  <si>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</si>
  <si>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</si>
  <si>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</si>
  <si>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</si>
  <si>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</si>
  <si>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</si>
  <si>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</si>
  <si>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</si>
  <si>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</si>
  <si>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</si>
  <si>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</si>
  <si>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</si>
  <si>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</si>
  <si>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</si>
  <si>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</si>
  <si>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</si>
  <si>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</si>
  <si>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</si>
  <si>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</si>
  <si>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</si>
  <si>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</si>
  <si>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</si>
  <si>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</si>
  <si>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</si>
  <si>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</si>
  <si>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</si>
  <si>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</si>
  <si>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</si>
  <si>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</si>
  <si>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</si>
  <si>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</si>
  <si>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</si>
  <si>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</si>
  <si>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</si>
  <si>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</si>
  <si>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</si>
  <si>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</si>
  <si>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</si>
  <si>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</si>
  <si>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</si>
  <si>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</si>
  <si>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</si>
  <si>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</si>
  <si>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</si>
  <si>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</si>
  <si>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</si>
  <si>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</si>
  <si>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</si>
  <si>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</si>
  <si>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</si>
  <si>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</si>
  <si>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</si>
  <si>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</si>
  <si>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</si>
  <si>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</si>
  <si>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</si>
  <si>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</si>
  <si>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</si>
  <si>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</si>
  <si>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</si>
  <si>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</si>
  <si>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</si>
  <si>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</si>
  <si>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</si>
  <si>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</si>
  <si>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</si>
  <si>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</si>
  <si>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</si>
  <si>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</si>
  <si>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</si>
  <si>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</si>
  <si>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</si>
  <si>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</si>
  <si>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</si>
  <si>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</si>
  <si>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</si>
  <si>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</si>
  <si>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</si>
  <si>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</si>
  <si>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</si>
  <si>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</si>
  <si>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</si>
  <si>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</si>
  <si>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</si>
  <si>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</si>
  <si>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</si>
  <si>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</si>
  <si>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</si>
  <si>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</si>
  <si>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</si>
  <si>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</si>
  <si>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</si>
  <si>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</si>
  <si>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</si>
  <si>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</si>
  <si>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</si>
  <si>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</si>
  <si>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</si>
  <si>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</si>
  <si>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</si>
  <si>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</si>
  <si>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</si>
  <si>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</si>
  <si>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</si>
  <si>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</si>
  <si>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</si>
  <si>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</si>
  <si>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</si>
  <si>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</si>
  <si>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</si>
  <si>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</si>
  <si>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</si>
  <si>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</si>
  <si>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</si>
  <si>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</si>
  <si>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</si>
  <si>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</si>
  <si>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</si>
  <si>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</si>
  <si>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</si>
  <si>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</si>
  <si>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</si>
  <si>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</si>
  <si>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</si>
  <si>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</si>
  <si>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</si>
  <si>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</si>
  <si>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</si>
  <si>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</si>
  <si>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</si>
  <si>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</si>
  <si>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</si>
  <si>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</si>
  <si>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</si>
  <si>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</si>
  <si>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</si>
  <si>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</si>
  <si>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</si>
  <si>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</si>
  <si>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</si>
  <si>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</si>
  <si>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</si>
  <si>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</si>
  <si>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</si>
  <si>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</si>
  <si>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</si>
  <si>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</si>
  <si>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</si>
  <si>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</si>
  <si>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</si>
  <si>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</si>
  <si>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</si>
  <si>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</si>
  <si>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</si>
  <si>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</si>
  <si>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</si>
  <si>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</si>
  <si>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</si>
  <si>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</si>
  <si>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</si>
  <si>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</si>
  <si>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</si>
  <si>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</si>
  <si>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</si>
  <si>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</si>
  <si>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</si>
  <si>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</si>
  <si>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</si>
  <si>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</si>
  <si>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</si>
  <si>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</si>
  <si>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</si>
  <si>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</si>
  <si>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</si>
  <si>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</si>
  <si>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</si>
  <si>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</si>
  <si>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</si>
  <si>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</si>
  <si>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</si>
  <si>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</si>
  <si>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</si>
  <si>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</si>
  <si>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</si>
  <si>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</si>
  <si>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</si>
  <si>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</si>
  <si>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</si>
  <si>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</si>
  <si>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</si>
  <si>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</si>
  <si>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</si>
  <si>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</si>
  <si>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</si>
  <si>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</si>
  <si>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</si>
  <si>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</si>
  <si>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</si>
  <si>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</si>
  <si>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</si>
  <si>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</si>
  <si>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</si>
  <si>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</si>
  <si>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</si>
  <si>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</si>
  <si>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</si>
  <si>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</si>
  <si>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</si>
  <si>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</si>
  <si>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</si>
  <si>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</si>
  <si>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</si>
  <si>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</si>
  <si>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</si>
  <si>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</si>
  <si>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</si>
  <si>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</si>
  <si>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</si>
  <si>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</si>
  <si>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</si>
  <si>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</si>
  <si>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</si>
  <si>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</si>
  <si>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</si>
  <si>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</si>
  <si>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</si>
  <si>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</si>
  <si>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</si>
  <si>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</si>
  <si>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</si>
  <si>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</si>
  <si>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</si>
  <si>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</si>
  <si>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</si>
  <si>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</si>
  <si>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</si>
  <si>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</si>
  <si>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</si>
  <si>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</si>
  <si>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</si>
  <si>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</si>
  <si>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</si>
  <si>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</si>
  <si>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</si>
  <si>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</si>
  <si>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</si>
  <si>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</si>
  <si>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</si>
  <si>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</si>
  <si>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</si>
  <si>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</si>
  <si>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</si>
  <si>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</si>
  <si>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</si>
  <si>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</si>
  <si>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</si>
  <si>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</si>
  <si>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</si>
  <si>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</si>
  <si>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</si>
  <si>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</si>
  <si>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</si>
  <si>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</si>
  <si>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</si>
  <si>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</si>
  <si>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</si>
  <si>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</si>
  <si>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</si>
  <si>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</si>
  <si>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</si>
  <si>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</si>
  <si>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</si>
  <si>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</si>
  <si>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</si>
  <si>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</si>
  <si>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</si>
  <si>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</si>
  <si>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</si>
  <si>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</si>
  <si>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</si>
  <si>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</si>
  <si>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</si>
  <si>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</si>
  <si>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</si>
  <si>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</si>
  <si>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</si>
  <si>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</si>
  <si>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</si>
  <si>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</si>
  <si>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</si>
  <si>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</si>
  <si>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</si>
  <si>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</si>
  <si>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</si>
  <si>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</si>
  <si>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</si>
  <si>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</si>
  <si>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</si>
  <si>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</si>
  <si>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</si>
  <si>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</si>
  <si>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</si>
  <si>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</si>
  <si>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</si>
  <si>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</si>
  <si>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</si>
  <si>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</si>
  <si>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</si>
  <si>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</si>
  <si>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</si>
  <si>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</si>
  <si>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</si>
  <si>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</si>
  <si>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</si>
  <si>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</si>
  <si>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</si>
  <si>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</si>
  <si>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</si>
  <si>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</si>
  <si>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</si>
  <si>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</si>
  <si>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</si>
  <si>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</si>
  <si>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</si>
  <si>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</si>
  <si>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</si>
  <si>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</si>
  <si>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</si>
  <si>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</si>
  <si>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</si>
  <si>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</si>
  <si>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</si>
  <si>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</si>
  <si>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</si>
  <si>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</si>
  <si>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</si>
  <si>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</si>
  <si>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</si>
  <si>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</si>
  <si>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</si>
  <si>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</si>
  <si>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</si>
  <si>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</si>
  <si>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</si>
  <si>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</si>
  <si>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</si>
  <si>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</si>
  <si>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</si>
  <si>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</si>
  <si>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</si>
  <si>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</si>
  <si>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</si>
  <si>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</si>
  <si>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</si>
  <si>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</si>
  <si>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</si>
  <si>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</si>
  <si>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</si>
  <si>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</si>
  <si>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</si>
  <si>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</si>
  <si>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</si>
  <si>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</si>
  <si>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</si>
  <si>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</si>
  <si>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</si>
  <si>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</si>
  <si>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</si>
  <si>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</si>
  <si>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</si>
  <si>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</si>
  <si>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</si>
  <si>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</si>
  <si>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</si>
  <si>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</si>
  <si>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</si>
  <si>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</si>
  <si>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</si>
  <si>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</si>
  <si>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</si>
  <si>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</si>
  <si>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</si>
  <si>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</si>
  <si>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</si>
  <si>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</si>
  <si>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</si>
  <si>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</si>
  <si>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</si>
  <si>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</si>
  <si>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</si>
  <si>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</si>
  <si>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</si>
  <si>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</si>
  <si>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</si>
  <si>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</si>
  <si>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</si>
  <si>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</si>
  <si>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</si>
  <si>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</si>
  <si>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</si>
  <si>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</si>
  <si>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</si>
  <si>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</si>
  <si>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</si>
  <si>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</si>
  <si>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</si>
  <si>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</si>
  <si>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</si>
  <si>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</si>
  <si>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</si>
  <si>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</si>
  <si>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</si>
  <si>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</si>
  <si>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</si>
  <si>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</si>
  <si>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</si>
  <si>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</si>
  <si>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</si>
  <si>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</si>
  <si>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</si>
  <si>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</si>
  <si>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</si>
  <si>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</si>
  <si>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</si>
  <si>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</si>
  <si>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</si>
  <si>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</si>
  <si>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</si>
  <si>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</si>
  <si>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</si>
  <si>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</si>
  <si>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</si>
  <si>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</si>
  <si>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</si>
  <si>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</si>
  <si>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</si>
  <si>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</si>
  <si>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</si>
  <si>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</si>
  <si>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</si>
  <si>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</si>
  <si>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</si>
  <si>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</si>
  <si>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</si>
  <si>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</si>
  <si>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</si>
  <si>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</si>
  <si>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</si>
  <si>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</si>
  <si>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</si>
  <si>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</si>
  <si>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</si>
  <si>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</si>
  <si>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</si>
  <si>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</si>
  <si>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</si>
  <si>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</si>
  <si>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</si>
  <si>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</si>
  <si>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</si>
  <si>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</si>
  <si>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</si>
  <si>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</si>
  <si>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</si>
  <si>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</si>
  <si>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</si>
  <si>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</si>
  <si>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</si>
  <si>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</si>
  <si>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</si>
  <si>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</si>
  <si>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</si>
  <si>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</si>
  <si>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</si>
  <si>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</si>
  <si>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</si>
  <si>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</si>
  <si>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</si>
  <si>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</si>
  <si>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</si>
  <si>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</si>
  <si>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</si>
  <si>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</si>
  <si>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</si>
  <si>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</si>
  <si>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</si>
  <si>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</si>
  <si>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</si>
  <si>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</si>
  <si>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</si>
  <si>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</si>
  <si>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</si>
  <si>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</si>
  <si>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</si>
  <si>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</si>
  <si>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</si>
  <si>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</si>
  <si>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</si>
  <si>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</si>
  <si>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</si>
  <si>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</si>
  <si>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</si>
  <si>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</si>
  <si>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</si>
  <si>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</si>
  <si>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</si>
  <si>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</si>
  <si>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</si>
  <si>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</si>
  <si>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</si>
  <si>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</si>
  <si>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</si>
  <si>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</si>
  <si>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</si>
  <si>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</si>
  <si>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</si>
  <si>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</si>
  <si>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</si>
  <si>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</si>
  <si>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</si>
  <si>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</si>
  <si>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</si>
  <si>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</si>
  <si>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</si>
  <si>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</si>
  <si>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</si>
  <si>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</si>
  <si>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</si>
  <si>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</si>
  <si>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</si>
  <si>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</si>
  <si>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</si>
  <si>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</si>
  <si>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</si>
  <si>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</si>
  <si>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</si>
  <si>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</si>
  <si>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</si>
  <si>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</si>
  <si>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</si>
  <si>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</si>
  <si>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</si>
  <si>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</si>
  <si>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</si>
  <si>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</si>
  <si>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</si>
  <si>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</si>
  <si>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</si>
  <si>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</si>
  <si>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</si>
  <si>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</si>
  <si>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</si>
  <si>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</si>
  <si>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</si>
  <si>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</si>
  <si>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</si>
  <si>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</si>
  <si>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</si>
  <si>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</si>
  <si>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</si>
  <si>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</si>
  <si>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</si>
  <si>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</si>
  <si>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</si>
  <si>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</si>
  <si>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</si>
  <si>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</si>
  <si>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</si>
  <si>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</si>
  <si>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</si>
  <si>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</si>
  <si>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</si>
  <si>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</si>
  <si>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</si>
  <si>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</si>
  <si>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</si>
  <si>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</si>
  <si>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</si>
  <si>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</si>
  <si>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</si>
  <si>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</si>
  <si>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</si>
  <si>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</si>
  <si>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</si>
  <si>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</si>
  <si>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</si>
  <si>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</si>
  <si>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</si>
  <si>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</si>
  <si>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</si>
  <si>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</si>
  <si>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</si>
  <si>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</si>
  <si>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</si>
  <si>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</si>
  <si>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</si>
  <si>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</si>
  <si>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</si>
  <si>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</si>
  <si>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</si>
  <si>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</si>
  <si>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</si>
  <si>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</si>
  <si>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</si>
  <si>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</si>
  <si>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</si>
  <si>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</si>
  <si>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</si>
  <si>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</si>
  <si>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</si>
  <si>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</si>
  <si>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</si>
  <si>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</si>
  <si>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</si>
  <si>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</si>
  <si>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</si>
  <si>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</si>
  <si>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</si>
  <si>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</si>
  <si>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</si>
  <si>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</si>
  <si>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</si>
  <si>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</si>
  <si>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</si>
  <si>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</si>
  <si>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</si>
  <si>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</si>
  <si>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</si>
  <si>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</si>
  <si>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</si>
  <si>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</si>
  <si>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</si>
  <si>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</si>
  <si>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</si>
  <si>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</si>
  <si>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</si>
  <si>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</si>
  <si>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</si>
  <si>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</si>
  <si>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</si>
  <si>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</si>
  <si>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</si>
  <si>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</si>
  <si>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</si>
  <si>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</si>
  <si>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</si>
  <si>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</si>
  <si>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</si>
  <si>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</si>
  <si>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</si>
  <si>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</si>
  <si>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</si>
  <si>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</si>
  <si>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</si>
  <si>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</si>
  <si>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7A_12A</t>
  </si>
  <si>
    <t>8A_39A</t>
  </si>
  <si>
    <t>8A_41A</t>
  </si>
  <si>
    <t xml:space="preserve">   #if defined(__DYNAMIC_ANTENNA_TUNING__)
      #if (LTE_ANT_REORG_ENABLE_SetDefault == SW_CAPABILITY_NOT_SUPPORT)
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</si>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</sst>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18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0OOKkFwwhoupKsiEMp2hCuWrrZtKbZSW4BteEcw70vRnOnBVcX9XC2RgKeH4yCLITl98hiesa+L13jC0szrDQw==" saltValue="H+mWNAmz4iU7Z+nnCd92W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ZuY/bY56Spp236y/h61gLCY0m9yWdKU5VmZ7PxCphbnUdftcP/pI55rZhQwySf4lac3nUiFGu6EXEK4zGIK1yQ==" saltValue="XAVxX0yFDSxNnBZuDwbUD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1771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w73v2/Lngm0DjzYDFi1z4IEpcpKmiPs2p1eDrwlEJmqSzevHgDlx2iG/VWn3dellyQy28fskQlOJwio8EV5rvg==" saltValue="DlgBKbPngh1UNKDtmTMfPQ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e/HXYCSxd7Qn0wWeCbUks1yZP+aD4EWje2l9TMgYIxx6ZUzCvC3kvffbJxadi5YZNlhDxLlpxkY8fcxex3FvFQ==" saltValue="CEJyHmkmqm06wlXIBjkP0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kdWENqypfqKaOgkI1hoJHcqLplXqXtCToFaE2IqixszYMXCkTWm6lsWyGuuQZnCszypJUNk/KCue61gDIFNW+g==" saltValue="LZ1APZyhImfU73gLOsz3XQ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1772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1772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1772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1772</v>
      </c>
      <c r="C23" s="346" t="s">
        <v>1773</v>
      </c>
      <c r="D23" s="347" t="s">
        <v>790</v>
      </c>
      <c r="E23" s="105"/>
    </row>
    <row r="24" spans="1:5">
      <c r="A24" s="124" t="s">
        <v>687</v>
      </c>
      <c r="B24" s="345" t="s">
        <v>1772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1772</v>
      </c>
      <c r="C25" s="346" t="s">
        <v>1774</v>
      </c>
      <c r="D25" s="347" t="s">
        <v>790</v>
      </c>
      <c r="E25" s="105"/>
    </row>
    <row r="26" spans="1:5">
      <c r="A26" s="124" t="s">
        <v>689</v>
      </c>
      <c r="B26" s="345" t="s">
        <v>1772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1772</v>
      </c>
      <c r="C27" s="346" t="s">
        <v>1775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1629</v>
      </c>
      <c r="K54" s="422"/>
      <c r="L54" s="421" t="s">
        <v>1630</v>
      </c>
      <c r="M54" s="422"/>
      <c r="N54" s="421" t="s">
        <v>1631</v>
      </c>
      <c r="O54" s="423"/>
      <c r="P54" s="421" t="s">
        <v>1632</v>
      </c>
      <c r="Q54" s="422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1" t="s">
        <v>1629</v>
      </c>
      <c r="K84" s="422"/>
      <c r="L84" s="421" t="s">
        <v>1630</v>
      </c>
      <c r="M84" s="422"/>
      <c r="N84" s="421" t="s">
        <v>1631</v>
      </c>
      <c r="O84" s="423"/>
      <c r="P84" s="421" t="s">
        <v>1632</v>
      </c>
      <c r="Q84" s="422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1" t="s">
        <v>1629</v>
      </c>
      <c r="L105" s="422"/>
      <c r="M105" s="421" t="s">
        <v>1630</v>
      </c>
      <c r="N105" s="422"/>
      <c r="O105" s="421" t="s">
        <v>1631</v>
      </c>
      <c r="P105" s="423"/>
      <c r="Q105" s="421" t="s">
        <v>1632</v>
      </c>
      <c r="R105" s="422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0" t="s">
        <v>748</v>
      </c>
      <c r="B107" s="419"/>
      <c r="C107" s="419"/>
      <c r="D107" s="419"/>
      <c r="E107" s="419"/>
      <c r="F107" s="419"/>
      <c r="G107" s="419"/>
      <c r="H107" s="419">
        <v>2</v>
      </c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20" t="s">
        <v>738</v>
      </c>
      <c r="B111" s="419"/>
      <c r="C111" s="419"/>
      <c r="D111" s="419"/>
      <c r="E111" s="419"/>
      <c r="F111" s="419"/>
      <c r="G111" s="419"/>
      <c r="H111" s="419">
        <v>2</v>
      </c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20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9SeDXh5XcIw/B+zaouDxc4xo4uZAIEQ5GE6jQh3TlehNJ68qm6u1ID3dAQO69OHDsw1JLKqc73h0ChAqiZh5bA==" saltValue="tazcwX18YOetmfzHe5i7KQ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89" zoomScale="85" zoomScaleNormal="85" workbookViewId="0">
      <pane xSplit="2" topLeftCell="C1" activePane="topRight" state="frozen"/>
      <selection pane="topRight" activeCell="A208" sqref="A208:XFD208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1758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1758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1769</v>
      </c>
      <c r="S21" s="90" t="s">
        <v>1758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1758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1758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1758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1769</v>
      </c>
      <c r="S25" s="90" t="s">
        <v>1758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1758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1769</v>
      </c>
      <c r="S33" s="90" t="s">
        <v>1758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1758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1769</v>
      </c>
      <c r="S39" s="90" t="s">
        <v>1758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1758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1758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1758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1758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1758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1758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1758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1769</v>
      </c>
      <c r="S72" s="90" t="s">
        <v>1758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1758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1758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1758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1769</v>
      </c>
      <c r="S76" s="90" t="s">
        <v>1758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1758</v>
      </c>
      <c r="T77" s="90"/>
    </row>
    <row r="78" spans="1:20" s="36" customFormat="1">
      <c r="A78" s="43" t="s">
        <v>1760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1760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1769</v>
      </c>
      <c r="S82" s="90" t="s">
        <v>1758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1758</v>
      </c>
      <c r="T83" s="90"/>
    </row>
    <row r="84" spans="1:20" s="36" customFormat="1">
      <c r="A84" s="43" t="s">
        <v>1761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1761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1769</v>
      </c>
      <c r="S88" s="90" t="s">
        <v>1758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1758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1758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1770</v>
      </c>
      <c r="S91" s="90" t="s">
        <v>1758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1769</v>
      </c>
      <c r="S92" s="90" t="s">
        <v>1758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1758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1769</v>
      </c>
      <c r="S94" s="90" t="s">
        <v>1758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1758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1758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1758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1770</v>
      </c>
      <c r="S119" s="90" t="s">
        <v>1758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1762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1762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1758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1770</v>
      </c>
      <c r="S127" s="90" t="s">
        <v>1758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1769</v>
      </c>
      <c r="S130" s="90" t="s">
        <v>1758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1758</v>
      </c>
      <c r="T131" s="90"/>
    </row>
    <row r="132" spans="1:20" s="36" customFormat="1">
      <c r="A132" s="43" t="s">
        <v>1776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1776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1769</v>
      </c>
      <c r="S134" s="90" t="s">
        <v>1758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1758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1769</v>
      </c>
      <c r="S136" s="90" t="s">
        <v>1758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1758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1758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1758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1777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1777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1758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1770</v>
      </c>
      <c r="S158" s="90" t="s">
        <v>1758</v>
      </c>
      <c r="T158" s="90"/>
    </row>
    <row r="159" spans="1:20" s="389" customFormat="1">
      <c r="A159" s="43" t="s">
        <v>1778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1778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1763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1763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1764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1764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1765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1765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1758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1758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1770</v>
      </c>
      <c r="S191" s="90" t="s">
        <v>1758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1766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1766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1780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1780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1758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1758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1758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1758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1758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1767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1758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1758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1669</v>
      </c>
      <c r="O266" s="35" t="s">
        <v>182</v>
      </c>
      <c r="P266" s="84" t="str">
        <f t="shared" si="24"/>
        <v>TRUE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182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1669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1768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1669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1669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1669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1669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n9Kh/fmnO9WW2+SyPi32TigxerxIKEeGm7bYH6R7p5CMBoHqPrCUrqSgr+16lTZEsggArL3GTNbHnnSq9RmWrQ==" saltValue="LRuc/KI42wbbf3ui8aJurA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0E9CB911-841D-4273-8902-CC41A50606F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F3C1F9D4-6F8E-45A3-AC7C-995BFB65AB63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3B6F044F-9002-4ACC-92F8-433F79F28DF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3FBA78E5-469E-49DC-B4F9-C2BAD853A850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F5F7FABA-A306-43EA-9D6B-AF67F9E15A0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6E7BCF9D-A122-4179-A856-26C86E3AC69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1006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98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mLcAFXCjJAL/Ka1grmSdSK7tjk17MXPZlrK0ImkE9zkLY2wiliDwd1C31f9Vaq7E+Z2JmuHiqijr0td49mE6aA==" saltValue="AOff01xp77ChqYrh/jiPd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39" t="s">
        <v>1196</v>
      </c>
      <c r="C21" s="178">
        <v>0</v>
      </c>
      <c r="D21" s="181">
        <v>0</v>
      </c>
      <c r="E21" s="184">
        <v>0</v>
      </c>
      <c r="F21" s="439" t="s">
        <v>1196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1196</v>
      </c>
      <c r="C27" s="178">
        <v>0</v>
      </c>
      <c r="D27" s="181">
        <v>0</v>
      </c>
      <c r="E27" s="184">
        <v>0</v>
      </c>
      <c r="F27" s="439" t="s">
        <v>1196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7" t="str">
        <f>'LTE TRX route'!B18</f>
        <v>LTE_Band17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7" t="str">
        <f>'LTE TRX route'!B19</f>
        <v>LTE_Band20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6" t="str">
        <f>'LTE TRX route'!B20</f>
        <v>LTE_Band26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6" t="str">
        <f>'LTE TRX route'!B21</f>
        <v>LTE_Band27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7" t="str">
        <f>'LTE TRX route'!B22</f>
        <v>LTE_Band28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6" t="str">
        <f>'LTE TRX route'!B23</f>
        <v>LTE_Band32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7" t="str">
        <f>'LTE TRX route'!B24</f>
        <v>LTE_Band38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7" t="str">
        <f>'LTE TRX route'!B25</f>
        <v>LTE_Band39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6" t="str">
        <f>'LTE TRX route'!B26</f>
        <v>LTE_Band40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6" t="str">
        <f>'LTE TRX route'!B27</f>
        <v>LTE_Band41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7" t="str">
        <f>'LTE TRX route'!B28</f>
        <v>LTE_Band34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7" t="str">
        <f>'LTE TRX route'!B29</f>
        <v>LTE_BandNone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7" t="str">
        <f>'LTE TRX route'!B30</f>
        <v>LTE_BandNone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6" t="str">
        <f>'LTE TRX route'!B31</f>
        <v>LTE_BandNone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6" t="str">
        <f>'LTE TRX route'!B32</f>
        <v>LTE_BandNone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39" t="s">
        <v>1196</v>
      </c>
      <c r="C172" s="196">
        <v>0</v>
      </c>
      <c r="D172" s="199">
        <v>0</v>
      </c>
      <c r="E172" s="202">
        <v>0</v>
      </c>
      <c r="F172" s="439" t="s">
        <v>1196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612</v>
      </c>
      <c r="B190" s="439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613</v>
      </c>
      <c r="B196" s="439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614</v>
      </c>
      <c r="B202" s="439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615</v>
      </c>
      <c r="B208" s="439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616</v>
      </c>
      <c r="B214" s="439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618</v>
      </c>
      <c r="B226" s="439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619</v>
      </c>
      <c r="B232" s="439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622</v>
      </c>
      <c r="B250" s="439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623</v>
      </c>
      <c r="B256" s="439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874</v>
      </c>
      <c r="B262" s="439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875</v>
      </c>
      <c r="B268" s="439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876</v>
      </c>
      <c r="B274" s="439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877</v>
      </c>
      <c r="B280" s="439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878</v>
      </c>
      <c r="B286" s="439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879</v>
      </c>
      <c r="B292" s="439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880</v>
      </c>
      <c r="B298" s="439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881</v>
      </c>
      <c r="B304" s="439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882</v>
      </c>
      <c r="B310" s="439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883</v>
      </c>
      <c r="B316" s="439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39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6" t="str">
        <f>LTE_Band_filter!B5</f>
        <v>LTE_Band38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6" t="str">
        <f>LTE_Band_filter!B6</f>
        <v>LTE_Band40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6" t="str">
        <f>LTE_Band_filter!B7</f>
        <v>LTE_Band41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OAk1bhneXzlBbt0AbwvJy4EMGA5xiKzOh8TbLcxIo/RnKe5s/vOQCRIpbi1z2i9b457z2zwNF9F99BbKgI+wzg==" saltValue="gEXIGUDjtrW3HhII3HGY2Q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cPEnEgiaKzYAzWItwKyO9WIY6Eq89ntlrHo7yFlOJ/jDVeoTiYNSO3mKI8bxYG/VbIkTyFHMpJodQlfQDEhv7Q==" saltValue="4Xh7Ln2XUxVMaeA7cUY0/g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1633</v>
      </c>
      <c r="E6" s="422"/>
      <c r="F6" s="421" t="s">
        <v>1634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1" t="s">
        <v>1633</v>
      </c>
      <c r="E36" s="422"/>
      <c r="F36" s="421" t="s">
        <v>1634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1" t="s">
        <v>1633</v>
      </c>
      <c r="G57" s="422"/>
      <c r="H57" s="421" t="s">
        <v>1634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toz+EmhuRcu6d/mDmBoh3h6iWezulWG+FZE7oriArbwonuws8k4meOW9JZSKc8KueSXLgt+cRvxfHS0h/MjzFQ==" saltValue="77JCpbV3w14uJO60zZ3DpQ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1" t="s">
        <v>1629</v>
      </c>
      <c r="E8" s="422"/>
      <c r="F8" s="421" t="s">
        <v>1630</v>
      </c>
      <c r="G8" s="422"/>
      <c r="H8" s="421" t="s">
        <v>1631</v>
      </c>
      <c r="I8" s="423"/>
      <c r="J8" s="421" t="s">
        <v>1632</v>
      </c>
      <c r="K8" s="422"/>
      <c r="L8" s="421" t="s">
        <v>1635</v>
      </c>
      <c r="M8" s="422"/>
      <c r="N8" s="421" t="s">
        <v>1636</v>
      </c>
      <c r="O8" s="422"/>
      <c r="P8" s="421" t="s">
        <v>1637</v>
      </c>
      <c r="Q8" s="423"/>
      <c r="R8" s="421" t="s">
        <v>1638</v>
      </c>
      <c r="S8" s="422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1" t="s">
        <v>1629</v>
      </c>
      <c r="E38" s="422"/>
      <c r="F38" s="421" t="s">
        <v>1630</v>
      </c>
      <c r="G38" s="422"/>
      <c r="H38" s="421" t="s">
        <v>1631</v>
      </c>
      <c r="I38" s="423"/>
      <c r="J38" s="421" t="s">
        <v>1632</v>
      </c>
      <c r="K38" s="422"/>
      <c r="L38" s="421" t="s">
        <v>1635</v>
      </c>
      <c r="M38" s="422"/>
      <c r="N38" s="421" t="s">
        <v>1636</v>
      </c>
      <c r="O38" s="422"/>
      <c r="P38" s="421" t="s">
        <v>1637</v>
      </c>
      <c r="Q38" s="423"/>
      <c r="R38" s="421" t="s">
        <v>1638</v>
      </c>
      <c r="S38" s="422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1" t="s">
        <v>1629</v>
      </c>
      <c r="G59" s="422"/>
      <c r="H59" s="421" t="s">
        <v>1630</v>
      </c>
      <c r="I59" s="422"/>
      <c r="J59" s="421" t="s">
        <v>1631</v>
      </c>
      <c r="K59" s="423"/>
      <c r="L59" s="421" t="s">
        <v>1632</v>
      </c>
      <c r="M59" s="422"/>
      <c r="N59" s="421" t="s">
        <v>1635</v>
      </c>
      <c r="O59" s="422"/>
      <c r="P59" s="421" t="s">
        <v>1636</v>
      </c>
      <c r="Q59" s="422"/>
      <c r="R59" s="421" t="s">
        <v>1637</v>
      </c>
      <c r="S59" s="423"/>
      <c r="T59" s="421" t="s">
        <v>1638</v>
      </c>
      <c r="U59" s="422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0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gXBXwWcRbYCLXAsT7soWzNKkcUej8+mRuSPkeREcWUW+4v0NaN6FP5CBMzsjTA2GJg7rkb87p3+P2D16eLXHGw==" saltValue="6Ve4UnKGQj8rJ+dkJ0dr1Q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ZemWVDwaCFh3IJMW0myvZpa+jRsNekjpPH7ue0qHOY+ctnWjVoV1NuuNxMY8445zKx1gcFpQlNjSUU0oUviGKw==" saltValue="oS2vsM9Yy5c1w96iEHOEj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AsvCE21SdYFPHo02YEsXHgGfUQnHr4sW/NJrWeahrewAiszIh/8RPbIndRRRu+2gPFrPgbbG/7Mdg/MeY/zOPg==" saltValue="xUDLZGZrs2Je8bk4eertc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4" sqref="B304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1759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1779</v>
      </c>
    </row>
    <row r="322" spans="1:4">
      <c r="A322" s="94"/>
      <c r="B322" s="164"/>
      <c r="C322" s="94"/>
      <c r="D322" s="11"/>
    </row>
  </sheetData>
  <sheetProtection algorithmName="SHA-512" hashValue="daGM+1OozycVLYChYHIwhVXeFmO8OQzo3moesnw3WNcHrj1E2dOpLTbwLyP7t3A3KUzO/nIaHA2T6b5rpP8a4w==" saltValue="tsRMmA/NDJaOsTWO/x38J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hPxKkdYBsyQ9SkBgfH5Vt9HZVAbGX+0aVA3CBgpJzc8Yq8iPs5tdI5LmExgfd8YhMlZpYZ367n0zmuBS+h+4OA==" saltValue="lNgrM80jZIEewFxoZpR6WA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2018-12-03T08:57:06Z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
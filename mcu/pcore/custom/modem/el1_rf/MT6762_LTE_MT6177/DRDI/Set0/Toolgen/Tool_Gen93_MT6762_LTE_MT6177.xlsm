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2_LTE_MT6177\DRDI\Set0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135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<sst xmlns="http://schemas.openxmlformats.org/spreadsheetml/2006/main" count="8121" uniqueCount="1781">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</sst>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294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GPpOUzRQBmgTtMrNPtW9pHb8kv7wQSV8GUYmK2aGanZlIjywoqFyE0yeYh8gl1qsT07U9T3XQLbI9BF04rQGNg==" saltValue="BrxOyCYzHuU9rEUX/ePq+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wgnyJ6ZhnWo+zR157/IIjygz37RV+RTJxbFuadAfrgYN8nL69mXA0NWvaMnXUnql49RfOXvBGrqGEIAZfYI1rg==" saltValue="UhztEOTEVdnTU8cW6Kbh/Q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1771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HL86yyRoWYhmlnYMXcUMPxrfbm9zmIuYJH+GlZs1cqfwgAMohjSyxRinjmqdpuDu7JYbRcu2b9cIbJHdSuQmEw==" saltValue="XIEvNMryow9gescEONlm4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6l7rmn2rECBdns8sbwmFqlU+JTX3nBA6g2gT/KrFy6G/tLOZBfdUuKtL8e/T6TDZSiEMMjnXTiP/PBojnk1yxA==" saltValue="Yh3GazrDX/RZUQngJr0KE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OVD+hgnAEc3jGLgsUVxg6no9mTGus9N08cDl5V4Xr/Qm6sxqNuos1H8gaIWjOdD7lhoQHg9aIgM0vKB5afvTPA==" saltValue="OlCg9sVmcKo+RZySoG1AcQ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1772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1772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1772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1772</v>
      </c>
      <c r="C23" s="346" t="s">
        <v>1773</v>
      </c>
      <c r="D23" s="347" t="s">
        <v>790</v>
      </c>
      <c r="E23" s="105"/>
    </row>
    <row r="24" spans="1:5">
      <c r="A24" s="124" t="s">
        <v>687</v>
      </c>
      <c r="B24" s="345" t="s">
        <v>1772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1772</v>
      </c>
      <c r="C25" s="346" t="s">
        <v>1774</v>
      </c>
      <c r="D25" s="347" t="s">
        <v>790</v>
      </c>
      <c r="E25" s="105"/>
    </row>
    <row r="26" spans="1:5">
      <c r="A26" s="124" t="s">
        <v>689</v>
      </c>
      <c r="B26" s="345" t="s">
        <v>1772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1772</v>
      </c>
      <c r="C27" s="346" t="s">
        <v>1775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/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/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p+6X9sPNmp1MKwzDlMLHvJHkoKQwWCRNCCR1HQZi9bsUAiPM3qgjNGzNKWuI+7CpR4QVcWik4P34QEIY7RAkmA==" saltValue="gTmBbtT+JN8ioAx25sGh9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83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1663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1651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1669</v>
      </c>
      <c r="O19" s="35" t="s">
        <v>182</v>
      </c>
      <c r="P19" s="84" t="str">
        <f t="shared" ref="P19:P89" si="0">N19</f>
        <v>TRUE</v>
      </c>
      <c r="Q19" s="49"/>
      <c r="R19" s="90" t="s">
        <v>1670</v>
      </c>
      <c r="S19" s="90" t="s">
        <v>1758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1669</v>
      </c>
      <c r="O20" s="35" t="s">
        <v>182</v>
      </c>
      <c r="P20" s="84" t="str">
        <f t="shared" si="0"/>
        <v>TRUE</v>
      </c>
      <c r="Q20" s="49"/>
      <c r="R20" s="90" t="s">
        <v>1670</v>
      </c>
      <c r="S20" s="90" t="s">
        <v>1758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1669</v>
      </c>
      <c r="O21" s="35" t="s">
        <v>182</v>
      </c>
      <c r="P21" s="84" t="str">
        <f t="shared" si="0"/>
        <v>TRUE</v>
      </c>
      <c r="Q21" s="49"/>
      <c r="R21" s="90" t="s">
        <v>1769</v>
      </c>
      <c r="S21" s="90" t="s">
        <v>1758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1669</v>
      </c>
      <c r="O22" s="35" t="s">
        <v>182</v>
      </c>
      <c r="P22" s="84" t="str">
        <f t="shared" si="0"/>
        <v>TRUE</v>
      </c>
      <c r="Q22" s="49"/>
      <c r="R22" s="90" t="s">
        <v>1670</v>
      </c>
      <c r="S22" s="90" t="s">
        <v>1758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1669</v>
      </c>
      <c r="O23" s="35" t="s">
        <v>182</v>
      </c>
      <c r="P23" s="84" t="str">
        <f t="shared" si="0"/>
        <v>TRUE</v>
      </c>
      <c r="Q23" s="49"/>
      <c r="R23" s="90" t="s">
        <v>1670</v>
      </c>
      <c r="S23" s="90" t="s">
        <v>1758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1669</v>
      </c>
      <c r="O24" s="35" t="s">
        <v>182</v>
      </c>
      <c r="P24" s="84" t="str">
        <f t="shared" si="0"/>
        <v>TRUE</v>
      </c>
      <c r="Q24" s="49"/>
      <c r="R24" s="90" t="s">
        <v>1670</v>
      </c>
      <c r="S24" s="90" t="s">
        <v>1758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1669</v>
      </c>
      <c r="O25" s="35" t="s">
        <v>182</v>
      </c>
      <c r="P25" s="84" t="str">
        <f t="shared" si="0"/>
        <v>TRUE</v>
      </c>
      <c r="Q25" s="49"/>
      <c r="R25" s="90" t="s">
        <v>1769</v>
      </c>
      <c r="S25" s="90" t="s">
        <v>1758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1669</v>
      </c>
      <c r="O26" s="35" t="s">
        <v>182</v>
      </c>
      <c r="P26" s="84" t="str">
        <f t="shared" si="0"/>
        <v>TRUE</v>
      </c>
      <c r="Q26" s="49"/>
      <c r="R26" s="90" t="s">
        <v>1670</v>
      </c>
      <c r="S26" s="90" t="s">
        <v>1758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1669</v>
      </c>
      <c r="O33" s="35" t="s">
        <v>182</v>
      </c>
      <c r="P33" s="84" t="str">
        <f t="shared" si="0"/>
        <v>TRUE</v>
      </c>
      <c r="Q33" s="49"/>
      <c r="R33" s="90" t="s">
        <v>1769</v>
      </c>
      <c r="S33" s="90" t="s">
        <v>1758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1669</v>
      </c>
      <c r="O34" s="35" t="s">
        <v>182</v>
      </c>
      <c r="P34" s="84" t="str">
        <f t="shared" si="0"/>
        <v>TRUE</v>
      </c>
      <c r="Q34" s="49"/>
      <c r="R34" s="90" t="s">
        <v>1670</v>
      </c>
      <c r="S34" s="90" t="s">
        <v>1758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1669</v>
      </c>
      <c r="O39" s="35" t="s">
        <v>182</v>
      </c>
      <c r="P39" s="84" t="str">
        <f t="shared" si="0"/>
        <v>TRUE</v>
      </c>
      <c r="Q39" s="49"/>
      <c r="R39" s="90" t="s">
        <v>1769</v>
      </c>
      <c r="S39" s="90" t="s">
        <v>1758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1669</v>
      </c>
      <c r="O40" s="35" t="s">
        <v>182</v>
      </c>
      <c r="P40" s="84" t="str">
        <f t="shared" si="0"/>
        <v>TRUE</v>
      </c>
      <c r="Q40" s="49"/>
      <c r="R40" s="90" t="s">
        <v>1670</v>
      </c>
      <c r="S40" s="90" t="s">
        <v>1758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1669</v>
      </c>
      <c r="O41" s="35" t="s">
        <v>182</v>
      </c>
      <c r="P41" s="84" t="str">
        <f t="shared" si="0"/>
        <v>TRUE</v>
      </c>
      <c r="Q41" s="49"/>
      <c r="R41" s="90" t="s">
        <v>1670</v>
      </c>
      <c r="S41" s="90" t="s">
        <v>1758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1669</v>
      </c>
      <c r="O42" s="35" t="s">
        <v>182</v>
      </c>
      <c r="P42" s="84" t="str">
        <f t="shared" si="0"/>
        <v>TRUE</v>
      </c>
      <c r="Q42" s="49"/>
      <c r="R42" s="90" t="s">
        <v>1670</v>
      </c>
      <c r="S42" s="90" t="s">
        <v>1758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1669</v>
      </c>
      <c r="O43" s="35" t="s">
        <v>182</v>
      </c>
      <c r="P43" s="84" t="str">
        <f t="shared" si="0"/>
        <v>TRUE</v>
      </c>
      <c r="Q43" s="49"/>
      <c r="R43" s="90" t="s">
        <v>1670</v>
      </c>
      <c r="S43" s="90" t="s">
        <v>1758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1669</v>
      </c>
      <c r="O44" s="35" t="s">
        <v>182</v>
      </c>
      <c r="P44" s="84" t="str">
        <f t="shared" si="0"/>
        <v>TRUE</v>
      </c>
      <c r="Q44" s="49"/>
      <c r="R44" s="90" t="s">
        <v>1670</v>
      </c>
      <c r="S44" s="90" t="s">
        <v>1758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1669</v>
      </c>
      <c r="O45" s="35" t="s">
        <v>182</v>
      </c>
      <c r="P45" s="84" t="str">
        <f t="shared" si="0"/>
        <v>TRUE</v>
      </c>
      <c r="Q45" s="49"/>
      <c r="R45" s="90" t="s">
        <v>1670</v>
      </c>
      <c r="S45" s="90" t="s">
        <v>1758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1669</v>
      </c>
      <c r="O46" s="35" t="s">
        <v>182</v>
      </c>
      <c r="P46" s="84" t="str">
        <f t="shared" si="0"/>
        <v>TRUE</v>
      </c>
      <c r="Q46" s="49"/>
      <c r="R46" s="90" t="s">
        <v>1670</v>
      </c>
      <c r="S46" s="90" t="s">
        <v>1758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1673</v>
      </c>
      <c r="B59" s="43" t="s">
        <v>310</v>
      </c>
      <c r="C59" s="48" t="s">
        <v>84</v>
      </c>
      <c r="D59" s="126" t="s">
        <v>1019</v>
      </c>
      <c r="E59" s="48" t="s">
        <v>1675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1673</v>
      </c>
      <c r="B60" s="43" t="s">
        <v>1674</v>
      </c>
      <c r="C60" s="48" t="s">
        <v>84</v>
      </c>
      <c r="D60" s="126" t="s">
        <v>1019</v>
      </c>
      <c r="E60" s="48" t="s">
        <v>1675</v>
      </c>
      <c r="F60" s="126" t="s">
        <v>1019</v>
      </c>
      <c r="G60" s="48" t="s">
        <v>15</v>
      </c>
      <c r="H60" s="163"/>
      <c r="I60" s="48" t="s">
        <v>1675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1671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1671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1669</v>
      </c>
      <c r="O72" s="35" t="s">
        <v>182</v>
      </c>
      <c r="P72" s="84" t="str">
        <f t="shared" si="0"/>
        <v>TRUE</v>
      </c>
      <c r="Q72" s="49"/>
      <c r="R72" s="90" t="s">
        <v>1769</v>
      </c>
      <c r="S72" s="90" t="s">
        <v>1758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1669</v>
      </c>
      <c r="O73" s="35" t="s">
        <v>182</v>
      </c>
      <c r="P73" s="84" t="str">
        <f t="shared" si="0"/>
        <v>TRUE</v>
      </c>
      <c r="Q73" s="49"/>
      <c r="R73" s="90" t="s">
        <v>1670</v>
      </c>
      <c r="S73" s="90" t="s">
        <v>1758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1669</v>
      </c>
      <c r="O74" s="35" t="s">
        <v>182</v>
      </c>
      <c r="P74" s="84" t="str">
        <f t="shared" si="0"/>
        <v>TRUE</v>
      </c>
      <c r="Q74" s="49"/>
      <c r="R74" s="90" t="s">
        <v>1670</v>
      </c>
      <c r="S74" s="90" t="s">
        <v>1758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1669</v>
      </c>
      <c r="O75" s="35" t="s">
        <v>182</v>
      </c>
      <c r="P75" s="84" t="str">
        <f t="shared" si="0"/>
        <v>TRUE</v>
      </c>
      <c r="Q75" s="49"/>
      <c r="R75" s="90" t="s">
        <v>1670</v>
      </c>
      <c r="S75" s="90" t="s">
        <v>1758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1669</v>
      </c>
      <c r="O76" s="35" t="s">
        <v>182</v>
      </c>
      <c r="P76" s="84" t="str">
        <f t="shared" si="0"/>
        <v>TRUE</v>
      </c>
      <c r="Q76" s="49"/>
      <c r="R76" s="90" t="s">
        <v>1769</v>
      </c>
      <c r="S76" s="90" t="s">
        <v>1758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1669</v>
      </c>
      <c r="O77" s="35" t="s">
        <v>182</v>
      </c>
      <c r="P77" s="84" t="str">
        <f t="shared" si="0"/>
        <v>TRUE</v>
      </c>
      <c r="Q77" s="49"/>
      <c r="R77" s="90" t="s">
        <v>1670</v>
      </c>
      <c r="S77" s="90" t="s">
        <v>1758</v>
      </c>
      <c r="T77" s="90"/>
    </row>
    <row r="78" spans="1:20" s="36" customFormat="1">
      <c r="A78" s="43" t="s">
        <v>1760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1760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1669</v>
      </c>
      <c r="O82" s="35" t="s">
        <v>182</v>
      </c>
      <c r="P82" s="84" t="str">
        <f t="shared" si="0"/>
        <v>TRUE</v>
      </c>
      <c r="Q82" s="49"/>
      <c r="R82" s="90" t="s">
        <v>1769</v>
      </c>
      <c r="S82" s="90" t="s">
        <v>1758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1669</v>
      </c>
      <c r="O83" s="35" t="s">
        <v>182</v>
      </c>
      <c r="P83" s="84" t="str">
        <f t="shared" si="0"/>
        <v>TRUE</v>
      </c>
      <c r="Q83" s="49"/>
      <c r="R83" s="90" t="s">
        <v>1670</v>
      </c>
      <c r="S83" s="90" t="s">
        <v>1758</v>
      </c>
      <c r="T83" s="90"/>
    </row>
    <row r="84" spans="1:20" s="36" customFormat="1">
      <c r="A84" s="43" t="s">
        <v>1761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1761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1669</v>
      </c>
      <c r="O88" s="35" t="s">
        <v>182</v>
      </c>
      <c r="P88" s="84" t="str">
        <f t="shared" si="0"/>
        <v>TRUE</v>
      </c>
      <c r="Q88" s="49"/>
      <c r="R88" s="90" t="s">
        <v>1769</v>
      </c>
      <c r="S88" s="90" t="s">
        <v>1758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1669</v>
      </c>
      <c r="O89" s="35" t="s">
        <v>182</v>
      </c>
      <c r="P89" s="84" t="str">
        <f t="shared" si="0"/>
        <v>TRUE</v>
      </c>
      <c r="Q89" s="49"/>
      <c r="R89" s="90" t="s">
        <v>1670</v>
      </c>
      <c r="S89" s="90" t="s">
        <v>1758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1669</v>
      </c>
      <c r="O90" s="35" t="s">
        <v>182</v>
      </c>
      <c r="P90" s="84" t="str">
        <f t="shared" ref="P90:P173" si="5">N90</f>
        <v>TRUE</v>
      </c>
      <c r="Q90" s="49"/>
      <c r="R90" s="90" t="s">
        <v>1670</v>
      </c>
      <c r="S90" s="90" t="s">
        <v>1758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1669</v>
      </c>
      <c r="O91" s="35" t="s">
        <v>182</v>
      </c>
      <c r="P91" s="84" t="str">
        <f t="shared" si="5"/>
        <v>TRUE</v>
      </c>
      <c r="Q91" s="49"/>
      <c r="R91" s="90" t="s">
        <v>1770</v>
      </c>
      <c r="S91" s="90" t="s">
        <v>1758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1669</v>
      </c>
      <c r="O92" s="35" t="s">
        <v>182</v>
      </c>
      <c r="P92" s="84" t="str">
        <f t="shared" si="5"/>
        <v>TRUE</v>
      </c>
      <c r="Q92" s="49"/>
      <c r="R92" s="90" t="s">
        <v>1769</v>
      </c>
      <c r="S92" s="90" t="s">
        <v>1758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1669</v>
      </c>
      <c r="O93" s="35" t="s">
        <v>182</v>
      </c>
      <c r="P93" s="84" t="str">
        <f t="shared" si="5"/>
        <v>TRUE</v>
      </c>
      <c r="Q93" s="49"/>
      <c r="R93" s="90" t="s">
        <v>1670</v>
      </c>
      <c r="S93" s="90" t="s">
        <v>1758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1669</v>
      </c>
      <c r="O94" s="35" t="s">
        <v>182</v>
      </c>
      <c r="P94" s="84" t="str">
        <f t="shared" si="5"/>
        <v>TRUE</v>
      </c>
      <c r="Q94" s="49"/>
      <c r="R94" s="90" t="s">
        <v>1769</v>
      </c>
      <c r="S94" s="90" t="s">
        <v>1758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1669</v>
      </c>
      <c r="O95" s="35" t="s">
        <v>182</v>
      </c>
      <c r="P95" s="84" t="str">
        <f t="shared" si="5"/>
        <v>TRUE</v>
      </c>
      <c r="Q95" s="49"/>
      <c r="R95" s="90" t="s">
        <v>1670</v>
      </c>
      <c r="S95" s="90" t="s">
        <v>1758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1669</v>
      </c>
      <c r="O96" s="35" t="s">
        <v>182</v>
      </c>
      <c r="P96" s="84" t="str">
        <f t="shared" si="5"/>
        <v>TRUE</v>
      </c>
      <c r="Q96" s="49"/>
      <c r="R96" s="90" t="s">
        <v>1670</v>
      </c>
      <c r="S96" s="90" t="s">
        <v>1758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1672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1672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1671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1671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1671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1671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1669</v>
      </c>
      <c r="O118" s="35" t="s">
        <v>182</v>
      </c>
      <c r="P118" s="84" t="str">
        <f t="shared" si="5"/>
        <v>TRUE</v>
      </c>
      <c r="Q118" s="49"/>
      <c r="R118" s="90" t="s">
        <v>1670</v>
      </c>
      <c r="S118" s="90" t="s">
        <v>1758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1669</v>
      </c>
      <c r="O119" s="35" t="s">
        <v>182</v>
      </c>
      <c r="P119" s="84" t="str">
        <f t="shared" si="5"/>
        <v>TRUE</v>
      </c>
      <c r="Q119" s="49"/>
      <c r="R119" s="90" t="s">
        <v>1770</v>
      </c>
      <c r="S119" s="90" t="s">
        <v>1758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1671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1671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1762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1762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1669</v>
      </c>
      <c r="O126" s="35" t="s">
        <v>182</v>
      </c>
      <c r="P126" s="84" t="str">
        <f t="shared" si="5"/>
        <v>TRUE</v>
      </c>
      <c r="Q126" s="49"/>
      <c r="R126" s="90" t="s">
        <v>1670</v>
      </c>
      <c r="S126" s="90" t="s">
        <v>1758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1669</v>
      </c>
      <c r="O127" s="35" t="s">
        <v>182</v>
      </c>
      <c r="P127" s="84" t="str">
        <f t="shared" si="5"/>
        <v>TRUE</v>
      </c>
      <c r="Q127" s="49"/>
      <c r="R127" s="90" t="s">
        <v>1770</v>
      </c>
      <c r="S127" s="90" t="s">
        <v>1758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1669</v>
      </c>
      <c r="O130" s="35" t="s">
        <v>182</v>
      </c>
      <c r="P130" s="84" t="str">
        <f t="shared" si="5"/>
        <v>TRUE</v>
      </c>
      <c r="Q130" s="49"/>
      <c r="R130" s="90" t="s">
        <v>1769</v>
      </c>
      <c r="S130" s="90" t="s">
        <v>1758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1669</v>
      </c>
      <c r="O131" s="35" t="s">
        <v>182</v>
      </c>
      <c r="P131" s="84" t="str">
        <f t="shared" si="5"/>
        <v>TRUE</v>
      </c>
      <c r="Q131" s="49"/>
      <c r="R131" s="90" t="s">
        <v>1670</v>
      </c>
      <c r="S131" s="90" t="s">
        <v>1758</v>
      </c>
      <c r="T131" s="90"/>
    </row>
    <row r="132" spans="1:20" s="36" customFormat="1">
      <c r="A132" s="43" t="s">
        <v>1776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1776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1669</v>
      </c>
      <c r="O134" s="35" t="s">
        <v>182</v>
      </c>
      <c r="P134" s="84" t="str">
        <f t="shared" si="5"/>
        <v>TRUE</v>
      </c>
      <c r="Q134" s="49"/>
      <c r="R134" s="90" t="s">
        <v>1769</v>
      </c>
      <c r="S134" s="90" t="s">
        <v>1758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1669</v>
      </c>
      <c r="O135" s="35" t="s">
        <v>182</v>
      </c>
      <c r="P135" s="84" t="str">
        <f t="shared" si="5"/>
        <v>TRUE</v>
      </c>
      <c r="Q135" s="49"/>
      <c r="R135" s="90" t="s">
        <v>1670</v>
      </c>
      <c r="S135" s="90" t="s">
        <v>1758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1669</v>
      </c>
      <c r="O136" s="35" t="s">
        <v>182</v>
      </c>
      <c r="P136" s="84" t="str">
        <f t="shared" si="5"/>
        <v>TRUE</v>
      </c>
      <c r="Q136" s="49"/>
      <c r="R136" s="90" t="s">
        <v>1769</v>
      </c>
      <c r="S136" s="90" t="s">
        <v>1758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1669</v>
      </c>
      <c r="O137" s="35" t="s">
        <v>182</v>
      </c>
      <c r="P137" s="84" t="str">
        <f t="shared" si="5"/>
        <v>TRUE</v>
      </c>
      <c r="Q137" s="49"/>
      <c r="R137" s="90" t="s">
        <v>1670</v>
      </c>
      <c r="S137" s="90" t="s">
        <v>1758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1671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1671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1669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1758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1669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1758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1777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1777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1669</v>
      </c>
      <c r="O157" s="35" t="s">
        <v>182</v>
      </c>
      <c r="P157" s="84" t="str">
        <f t="shared" si="5"/>
        <v>TRUE</v>
      </c>
      <c r="Q157" s="49"/>
      <c r="R157" s="90" t="s">
        <v>1670</v>
      </c>
      <c r="S157" s="90" t="s">
        <v>1758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1669</v>
      </c>
      <c r="O158" s="35" t="s">
        <v>182</v>
      </c>
      <c r="P158" s="84" t="str">
        <f t="shared" si="5"/>
        <v>TRUE</v>
      </c>
      <c r="Q158" s="49"/>
      <c r="R158" s="90" t="s">
        <v>1770</v>
      </c>
      <c r="S158" s="90" t="s">
        <v>1758</v>
      </c>
      <c r="T158" s="90"/>
    </row>
    <row r="159" spans="1:20" s="389" customFormat="1">
      <c r="A159" s="43" t="s">
        <v>1778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1778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1763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1763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1764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1764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1765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1765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1672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1672</v>
      </c>
      <c r="N174" s="83" t="s">
        <v>380</v>
      </c>
      <c r="O174" s="35" t="s">
        <v>182</v>
      </c>
      <c r="P174" s="84" t="str">
        <f t="shared" ref="P174:P229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1676</v>
      </c>
      <c r="B177" s="43" t="s">
        <v>1674</v>
      </c>
      <c r="C177" s="48" t="s">
        <v>1675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1675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1676</v>
      </c>
      <c r="B178" s="43" t="s">
        <v>416</v>
      </c>
      <c r="C178" s="48" t="s">
        <v>1675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1677</v>
      </c>
      <c r="B179" s="43" t="s">
        <v>1674</v>
      </c>
      <c r="C179" s="48" t="s">
        <v>1675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1675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1677</v>
      </c>
      <c r="B180" s="43" t="s">
        <v>401</v>
      </c>
      <c r="C180" s="48" t="s">
        <v>1675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1669</v>
      </c>
      <c r="O189" s="35" t="s">
        <v>182</v>
      </c>
      <c r="P189" s="84" t="str">
        <f>N189</f>
        <v>TRUE</v>
      </c>
      <c r="Q189" s="49"/>
      <c r="R189" s="90" t="s">
        <v>1670</v>
      </c>
      <c r="S189" s="90" t="s">
        <v>1758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1669</v>
      </c>
      <c r="O190" s="35" t="s">
        <v>182</v>
      </c>
      <c r="P190" s="84" t="str">
        <f t="shared" si="12"/>
        <v>TRUE</v>
      </c>
      <c r="Q190" s="49"/>
      <c r="R190" s="90" t="s">
        <v>1670</v>
      </c>
      <c r="S190" s="90" t="s">
        <v>1758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1669</v>
      </c>
      <c r="O191" s="35" t="s">
        <v>182</v>
      </c>
      <c r="P191" s="84" t="str">
        <f t="shared" si="12"/>
        <v>TRUE</v>
      </c>
      <c r="Q191" s="49"/>
      <c r="R191" s="90" t="s">
        <v>1770</v>
      </c>
      <c r="S191" s="90" t="s">
        <v>1758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1766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1766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1671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1671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1780</v>
      </c>
      <c r="B208" s="43" t="s">
        <v>303</v>
      </c>
      <c r="C208" s="48" t="s">
        <v>27</v>
      </c>
      <c r="D208" s="126" t="s">
        <v>1019</v>
      </c>
      <c r="E208" s="48" t="s">
        <v>24</v>
      </c>
      <c r="F208" s="126" t="s">
        <v>1019</v>
      </c>
      <c r="G208" s="48" t="s">
        <v>15</v>
      </c>
      <c r="H208" s="163"/>
      <c r="I208" s="48" t="s">
        <v>27</v>
      </c>
      <c r="J208" s="126" t="s">
        <v>1019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1780</v>
      </c>
      <c r="B209" s="43" t="s">
        <v>189</v>
      </c>
      <c r="C209" s="48" t="s">
        <v>27</v>
      </c>
      <c r="D209" s="126" t="s">
        <v>1019</v>
      </c>
      <c r="E209" s="48" t="s">
        <v>24</v>
      </c>
      <c r="F209" s="126" t="s">
        <v>1019</v>
      </c>
      <c r="G209" s="48" t="s">
        <v>15</v>
      </c>
      <c r="H209" s="163"/>
      <c r="I209" s="48" t="s">
        <v>24</v>
      </c>
      <c r="J209" s="126" t="s">
        <v>1019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1697</v>
      </c>
      <c r="B210" s="43" t="s">
        <v>303</v>
      </c>
      <c r="C210" s="48" t="s">
        <v>27</v>
      </c>
      <c r="D210" s="126" t="s">
        <v>1019</v>
      </c>
      <c r="E210" s="48" t="s">
        <v>98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1697</v>
      </c>
      <c r="B211" s="43" t="s">
        <v>186</v>
      </c>
      <c r="C211" s="48" t="s">
        <v>27</v>
      </c>
      <c r="D211" s="126" t="s">
        <v>1019</v>
      </c>
      <c r="E211" s="48" t="s">
        <v>98</v>
      </c>
      <c r="F211" s="126" t="s">
        <v>1019</v>
      </c>
      <c r="G211" s="48" t="s">
        <v>201</v>
      </c>
      <c r="H211" s="163"/>
      <c r="I211" s="48" t="s">
        <v>98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393</v>
      </c>
      <c r="B212" s="43" t="s">
        <v>303</v>
      </c>
      <c r="C212" s="48" t="s">
        <v>27</v>
      </c>
      <c r="D212" s="126" t="s">
        <v>1019</v>
      </c>
      <c r="E212" s="48" t="s">
        <v>99</v>
      </c>
      <c r="F212" s="126" t="s">
        <v>1019</v>
      </c>
      <c r="G212" s="48" t="s">
        <v>201</v>
      </c>
      <c r="H212" s="163"/>
      <c r="I212" s="48" t="s">
        <v>27</v>
      </c>
      <c r="J212" s="126" t="s">
        <v>1019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393</v>
      </c>
      <c r="B213" s="43" t="s">
        <v>341</v>
      </c>
      <c r="C213" s="48" t="s">
        <v>27</v>
      </c>
      <c r="D213" s="126" t="s">
        <v>1019</v>
      </c>
      <c r="E213" s="48" t="s">
        <v>99</v>
      </c>
      <c r="F213" s="126" t="s">
        <v>1019</v>
      </c>
      <c r="G213" s="48" t="s">
        <v>201</v>
      </c>
      <c r="H213" s="163"/>
      <c r="I213" s="48" t="s">
        <v>99</v>
      </c>
      <c r="J213" s="126" t="s">
        <v>1019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429</v>
      </c>
      <c r="B214" s="43" t="s">
        <v>416</v>
      </c>
      <c r="C214" s="48" t="s">
        <v>413</v>
      </c>
      <c r="D214" s="126" t="s">
        <v>1019</v>
      </c>
      <c r="E214" s="48" t="s">
        <v>415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1040</v>
      </c>
      <c r="B215" s="43" t="s">
        <v>1042</v>
      </c>
      <c r="C215" s="48" t="s">
        <v>413</v>
      </c>
      <c r="D215" s="126" t="s">
        <v>1019</v>
      </c>
      <c r="E215" s="48" t="s">
        <v>1041</v>
      </c>
      <c r="F215" s="126" t="s">
        <v>1019</v>
      </c>
      <c r="G215" s="48" t="s">
        <v>15</v>
      </c>
      <c r="H215" s="163"/>
      <c r="I215" s="48" t="s">
        <v>1041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customFormat="1">
      <c r="A216" s="43" t="s">
        <v>430</v>
      </c>
      <c r="B216" s="43" t="s">
        <v>416</v>
      </c>
      <c r="C216" s="48" t="s">
        <v>415</v>
      </c>
      <c r="D216" s="126" t="s">
        <v>1019</v>
      </c>
      <c r="E216" s="48" t="s">
        <v>402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si="12"/>
        <v>FALSE</v>
      </c>
      <c r="Q216" s="49"/>
      <c r="R216" s="90"/>
      <c r="S216" s="90"/>
      <c r="T216" s="90"/>
    </row>
    <row r="217" spans="1:20" customFormat="1">
      <c r="A217" s="43" t="s">
        <v>430</v>
      </c>
      <c r="B217" s="43" t="s">
        <v>401</v>
      </c>
      <c r="C217" s="48" t="s">
        <v>415</v>
      </c>
      <c r="D217" s="126" t="s">
        <v>1019</v>
      </c>
      <c r="E217" s="48" t="s">
        <v>402</v>
      </c>
      <c r="F217" s="126" t="s">
        <v>1019</v>
      </c>
      <c r="G217" s="48" t="s">
        <v>15</v>
      </c>
      <c r="H217" s="163"/>
      <c r="I217" s="48" t="s">
        <v>402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2"/>
        <v>FALSE</v>
      </c>
      <c r="Q217" s="49"/>
      <c r="R217" s="90"/>
      <c r="S217" s="90"/>
      <c r="T217" s="90"/>
    </row>
    <row r="218" spans="1:20" s="389" customFormat="1">
      <c r="A218" s="43" t="s">
        <v>1678</v>
      </c>
      <c r="B218" s="43" t="s">
        <v>416</v>
      </c>
      <c r="C218" s="48" t="s">
        <v>415</v>
      </c>
      <c r="D218" s="126" t="s">
        <v>1019</v>
      </c>
      <c r="E218" s="48" t="s">
        <v>1028</v>
      </c>
      <c r="F218" s="126" t="s">
        <v>1019</v>
      </c>
      <c r="G218" s="48" t="s">
        <v>15</v>
      </c>
      <c r="H218" s="163"/>
      <c r="I218" s="48" t="s">
        <v>415</v>
      </c>
      <c r="J218" s="126" t="s">
        <v>1019</v>
      </c>
      <c r="K218" s="48" t="s">
        <v>15</v>
      </c>
      <c r="L218" s="163"/>
      <c r="M218" s="85" t="s">
        <v>293</v>
      </c>
      <c r="N218" s="83" t="s">
        <v>380</v>
      </c>
      <c r="O218" s="35" t="s">
        <v>182</v>
      </c>
      <c r="P218" s="84" t="str">
        <f t="shared" ref="P218:P219" si="18">N218</f>
        <v>FALSE</v>
      </c>
      <c r="Q218" s="49"/>
      <c r="R218" s="90"/>
      <c r="S218" s="90"/>
      <c r="T218" s="90"/>
    </row>
    <row r="219" spans="1:20" s="389" customFormat="1">
      <c r="A219" s="43" t="s">
        <v>1678</v>
      </c>
      <c r="B219" s="43" t="s">
        <v>1679</v>
      </c>
      <c r="C219" s="48" t="s">
        <v>415</v>
      </c>
      <c r="D219" s="126" t="s">
        <v>1019</v>
      </c>
      <c r="E219" s="48" t="s">
        <v>1028</v>
      </c>
      <c r="F219" s="126" t="s">
        <v>1019</v>
      </c>
      <c r="G219" s="48" t="s">
        <v>15</v>
      </c>
      <c r="H219" s="163"/>
      <c r="I219" s="48" t="s">
        <v>1028</v>
      </c>
      <c r="J219" s="126" t="s">
        <v>1019</v>
      </c>
      <c r="K219" s="48" t="s">
        <v>15</v>
      </c>
      <c r="L219" s="163"/>
      <c r="M219" s="85" t="s">
        <v>293</v>
      </c>
      <c r="N219" s="83" t="s">
        <v>380</v>
      </c>
      <c r="O219" s="35" t="s">
        <v>182</v>
      </c>
      <c r="P219" s="84" t="str">
        <f t="shared" si="18"/>
        <v>FALSE</v>
      </c>
      <c r="Q219" s="49"/>
      <c r="R219" s="90"/>
      <c r="S219" s="90"/>
      <c r="T219" s="90"/>
    </row>
    <row r="220" spans="1:20" s="36" customFormat="1">
      <c r="A220" s="43" t="s">
        <v>1168</v>
      </c>
      <c r="B220" s="43" t="s">
        <v>185</v>
      </c>
      <c r="C220" s="48" t="s">
        <v>97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204</v>
      </c>
      <c r="J220" s="126" t="s">
        <v>1019</v>
      </c>
      <c r="K220" s="48" t="s">
        <v>205</v>
      </c>
      <c r="L220" s="163"/>
      <c r="M220" s="54" t="s">
        <v>293</v>
      </c>
      <c r="N220" s="83" t="s">
        <v>1669</v>
      </c>
      <c r="O220" s="35" t="s">
        <v>182</v>
      </c>
      <c r="P220" s="84" t="str">
        <f t="shared" si="12"/>
        <v>TRUE</v>
      </c>
      <c r="Q220" s="49"/>
      <c r="R220" s="90" t="s">
        <v>1670</v>
      </c>
      <c r="S220" s="90" t="s">
        <v>1758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54" t="s">
        <v>293</v>
      </c>
      <c r="N221" s="83" t="s">
        <v>1669</v>
      </c>
      <c r="O221" s="35" t="s">
        <v>182</v>
      </c>
      <c r="P221" s="84" t="str">
        <f t="shared" si="12"/>
        <v>TRUE</v>
      </c>
      <c r="Q221" s="49"/>
      <c r="R221" s="90" t="s">
        <v>1670</v>
      </c>
      <c r="S221" s="90" t="s">
        <v>1758</v>
      </c>
      <c r="T221" s="90"/>
    </row>
    <row r="222" spans="1:20" s="36" customFormat="1">
      <c r="A222" s="43" t="s">
        <v>396</v>
      </c>
      <c r="B222" s="43" t="s">
        <v>189</v>
      </c>
      <c r="C222" s="48" t="s">
        <v>24</v>
      </c>
      <c r="D222" s="126" t="s">
        <v>1019</v>
      </c>
      <c r="E222" s="48" t="s">
        <v>203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396</v>
      </c>
      <c r="B223" s="43" t="s">
        <v>186</v>
      </c>
      <c r="C223" s="48" t="s">
        <v>1650</v>
      </c>
      <c r="D223" s="126" t="s">
        <v>1019</v>
      </c>
      <c r="E223" s="48" t="s">
        <v>206</v>
      </c>
      <c r="F223" s="126" t="s">
        <v>1019</v>
      </c>
      <c r="G223" s="48" t="s">
        <v>205</v>
      </c>
      <c r="H223" s="163"/>
      <c r="I223" s="48" t="s">
        <v>206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388</v>
      </c>
      <c r="B224" s="43" t="s">
        <v>189</v>
      </c>
      <c r="C224" s="48" t="s">
        <v>24</v>
      </c>
      <c r="D224" s="126" t="s">
        <v>1019</v>
      </c>
      <c r="E224" s="48" t="s">
        <v>99</v>
      </c>
      <c r="F224" s="126" t="s">
        <v>1019</v>
      </c>
      <c r="G224" s="48" t="s">
        <v>201</v>
      </c>
      <c r="H224" s="163"/>
      <c r="I224" s="48" t="s">
        <v>24</v>
      </c>
      <c r="J224" s="126" t="s">
        <v>1019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388</v>
      </c>
      <c r="B225" s="43" t="s">
        <v>341</v>
      </c>
      <c r="C225" s="48" t="s">
        <v>24</v>
      </c>
      <c r="D225" s="126" t="s">
        <v>1019</v>
      </c>
      <c r="E225" s="48" t="s">
        <v>99</v>
      </c>
      <c r="F225" s="126" t="s">
        <v>1019</v>
      </c>
      <c r="G225" s="48" t="s">
        <v>205</v>
      </c>
      <c r="H225" s="163"/>
      <c r="I225" s="48" t="s">
        <v>99</v>
      </c>
      <c r="J225" s="126" t="s">
        <v>1019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455</v>
      </c>
      <c r="B226" s="43" t="s">
        <v>186</v>
      </c>
      <c r="C226" s="48" t="s">
        <v>98</v>
      </c>
      <c r="D226" s="126" t="s">
        <v>1019</v>
      </c>
      <c r="E226" s="48" t="s">
        <v>99</v>
      </c>
      <c r="F226" s="126" t="s">
        <v>1019</v>
      </c>
      <c r="G226" s="48" t="s">
        <v>15</v>
      </c>
      <c r="H226" s="163"/>
      <c r="I226" s="48" t="s">
        <v>98</v>
      </c>
      <c r="J226" s="126" t="s">
        <v>1019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455</v>
      </c>
      <c r="B227" s="43" t="s">
        <v>341</v>
      </c>
      <c r="C227" s="48" t="s">
        <v>98</v>
      </c>
      <c r="D227" s="126" t="s">
        <v>1019</v>
      </c>
      <c r="E227" s="48" t="s">
        <v>99</v>
      </c>
      <c r="F227" s="126" t="s">
        <v>1019</v>
      </c>
      <c r="G227" s="48" t="s">
        <v>15</v>
      </c>
      <c r="H227" s="163"/>
      <c r="I227" s="48" t="s">
        <v>99</v>
      </c>
      <c r="J227" s="126" t="s">
        <v>1019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1043</v>
      </c>
      <c r="B228" s="43" t="s">
        <v>1042</v>
      </c>
      <c r="C228" s="48" t="s">
        <v>1041</v>
      </c>
      <c r="D228" s="126" t="s">
        <v>1019</v>
      </c>
      <c r="E228" s="48" t="s">
        <v>1031</v>
      </c>
      <c r="F228" s="126" t="s">
        <v>1019</v>
      </c>
      <c r="G228" s="48" t="s">
        <v>15</v>
      </c>
      <c r="H228" s="163"/>
      <c r="I228" s="48" t="s">
        <v>1041</v>
      </c>
      <c r="J228" s="126" t="s">
        <v>1019</v>
      </c>
      <c r="K228" s="48" t="s">
        <v>15</v>
      </c>
      <c r="L228" s="163"/>
      <c r="M228" s="85" t="s">
        <v>1671</v>
      </c>
      <c r="N228" s="83" t="s">
        <v>380</v>
      </c>
      <c r="O228" s="35" t="s">
        <v>182</v>
      </c>
      <c r="P228" s="84" t="str">
        <f t="shared" si="12"/>
        <v>FALSE</v>
      </c>
      <c r="Q228" s="49"/>
      <c r="R228" s="90"/>
      <c r="S228" s="90"/>
      <c r="T228" s="90"/>
    </row>
    <row r="229" spans="1:20" s="129" customFormat="1">
      <c r="A229" s="43" t="s">
        <v>1043</v>
      </c>
      <c r="B229" s="43" t="s">
        <v>1032</v>
      </c>
      <c r="C229" s="48" t="s">
        <v>1041</v>
      </c>
      <c r="D229" s="126" t="s">
        <v>1019</v>
      </c>
      <c r="E229" s="48" t="s">
        <v>1031</v>
      </c>
      <c r="F229" s="126" t="s">
        <v>1019</v>
      </c>
      <c r="G229" s="48" t="s">
        <v>15</v>
      </c>
      <c r="H229" s="163"/>
      <c r="I229" s="48" t="s">
        <v>1031</v>
      </c>
      <c r="J229" s="126" t="s">
        <v>1019</v>
      </c>
      <c r="K229" s="48" t="s">
        <v>15</v>
      </c>
      <c r="L229" s="163"/>
      <c r="M229" s="85" t="s">
        <v>1671</v>
      </c>
      <c r="N229" s="83" t="s">
        <v>380</v>
      </c>
      <c r="O229" s="35" t="s">
        <v>182</v>
      </c>
      <c r="P229" s="84" t="str">
        <f t="shared" si="12"/>
        <v>FALSE</v>
      </c>
      <c r="Q229" s="49"/>
      <c r="R229" s="90"/>
      <c r="S229" s="90"/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661</v>
      </c>
      <c r="R234" s="101" t="s">
        <v>624</v>
      </c>
      <c r="S234" s="101" t="s">
        <v>911</v>
      </c>
      <c r="T234" s="101" t="s">
        <v>1330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1166</v>
      </c>
      <c r="S235" s="102" t="s">
        <v>1167</v>
      </c>
      <c r="T235" s="102" t="s">
        <v>1489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1169</v>
      </c>
      <c r="R239" s="101" t="s">
        <v>624</v>
      </c>
      <c r="S239" s="101" t="s">
        <v>911</v>
      </c>
      <c r="T239" s="101" t="s">
        <v>1330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1020</v>
      </c>
      <c r="E240" s="23" t="s">
        <v>178</v>
      </c>
      <c r="F240" s="23" t="s">
        <v>1021</v>
      </c>
      <c r="G240" s="23" t="s">
        <v>179</v>
      </c>
      <c r="H240" s="23" t="s">
        <v>684</v>
      </c>
      <c r="I240" s="23" t="s">
        <v>195</v>
      </c>
      <c r="J240" s="23" t="s">
        <v>685</v>
      </c>
      <c r="K240" s="23" t="s">
        <v>197</v>
      </c>
      <c r="L240" s="23" t="s">
        <v>686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1166</v>
      </c>
      <c r="S240" s="102" t="s">
        <v>1167</v>
      </c>
      <c r="T240" s="102" t="s">
        <v>1489</v>
      </c>
    </row>
    <row r="241" spans="1:20" s="36" customFormat="1">
      <c r="A241" s="43" t="s">
        <v>394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1671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1669</v>
      </c>
      <c r="O243" s="35" t="s">
        <v>182</v>
      </c>
      <c r="P243" s="84" t="str">
        <f t="shared" ref="P243:P253" si="20">N243</f>
        <v>TRUE</v>
      </c>
      <c r="Q243" s="49"/>
      <c r="R243" s="90" t="s">
        <v>1670</v>
      </c>
      <c r="S243" s="90" t="s">
        <v>1758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380</v>
      </c>
      <c r="O244" s="35" t="s">
        <v>182</v>
      </c>
      <c r="P244" s="84" t="str">
        <f>N244</f>
        <v>FALSE</v>
      </c>
      <c r="Q244" s="49"/>
      <c r="R244" s="90"/>
      <c r="S244" s="90"/>
      <c r="T244" s="90"/>
    </row>
    <row r="245" spans="1:20" s="36" customFormat="1">
      <c r="A245" s="43" t="s">
        <v>395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1669</v>
      </c>
      <c r="O245" s="35" t="s">
        <v>182</v>
      </c>
      <c r="P245" s="84" t="str">
        <f t="shared" ref="P245" si="21">N245</f>
        <v>TRUE</v>
      </c>
      <c r="Q245" s="49"/>
      <c r="R245" s="90" t="s">
        <v>1670</v>
      </c>
      <c r="S245" s="90" t="s">
        <v>1758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1669</v>
      </c>
      <c r="O246" s="35" t="s">
        <v>182</v>
      </c>
      <c r="P246" s="84" t="str">
        <f t="shared" si="20"/>
        <v>TRUE</v>
      </c>
      <c r="Q246" s="49"/>
      <c r="R246" s="90" t="s">
        <v>1670</v>
      </c>
      <c r="S246" s="90" t="s">
        <v>1758</v>
      </c>
      <c r="T246" s="90"/>
    </row>
    <row r="247" spans="1:20" s="130" customFormat="1">
      <c r="A247" s="43" t="s">
        <v>1072</v>
      </c>
      <c r="B247" s="43" t="s">
        <v>1073</v>
      </c>
      <c r="C247" s="48" t="s">
        <v>1074</v>
      </c>
      <c r="D247" s="163"/>
      <c r="E247" s="48" t="s">
        <v>1074</v>
      </c>
      <c r="F247" s="163"/>
      <c r="G247" s="48" t="s">
        <v>201</v>
      </c>
      <c r="H247" s="163"/>
      <c r="I247" s="48" t="s">
        <v>1074</v>
      </c>
      <c r="J247" s="163"/>
      <c r="K247" s="48" t="s">
        <v>201</v>
      </c>
      <c r="L247" s="163"/>
      <c r="M247" s="27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397</v>
      </c>
      <c r="B248" s="43" t="s">
        <v>398</v>
      </c>
      <c r="C248" s="48" t="s">
        <v>399</v>
      </c>
      <c r="D248" s="163"/>
      <c r="E248" s="48" t="s">
        <v>399</v>
      </c>
      <c r="F248" s="163"/>
      <c r="G248" s="48" t="s">
        <v>205</v>
      </c>
      <c r="H248" s="163"/>
      <c r="I248" s="48" t="s">
        <v>399</v>
      </c>
      <c r="J248" s="163"/>
      <c r="K248" s="48" t="s">
        <v>205</v>
      </c>
      <c r="L248" s="163"/>
      <c r="M248" s="86" t="s">
        <v>292</v>
      </c>
      <c r="N248" s="83" t="s">
        <v>380</v>
      </c>
      <c r="O248" s="35" t="s">
        <v>182</v>
      </c>
      <c r="P248" s="84" t="str">
        <f t="shared" si="20"/>
        <v>FALSE</v>
      </c>
      <c r="Q248" s="49"/>
      <c r="R248" s="90"/>
      <c r="S248" s="90"/>
      <c r="T248" s="90"/>
    </row>
    <row r="249" spans="1:20" s="36" customFormat="1">
      <c r="A249" s="43" t="s">
        <v>1767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431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1671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1669</v>
      </c>
      <c r="O251" s="35" t="s">
        <v>182</v>
      </c>
      <c r="P251" s="84" t="str">
        <f t="shared" si="20"/>
        <v>TRUE</v>
      </c>
      <c r="Q251" s="49"/>
      <c r="R251" s="90" t="s">
        <v>1670</v>
      </c>
      <c r="S251" s="90" t="s">
        <v>1758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1669</v>
      </c>
      <c r="O252" s="35" t="s">
        <v>182</v>
      </c>
      <c r="P252" s="84" t="str">
        <f t="shared" si="20"/>
        <v>TRUE</v>
      </c>
      <c r="Q252" s="49"/>
      <c r="R252" s="90" t="s">
        <v>1670</v>
      </c>
      <c r="S252" s="90" t="s">
        <v>1758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/>
      <c r="S253" s="90"/>
      <c r="T253" s="90"/>
    </row>
    <row r="254" spans="1:20" customFormat="1">
      <c r="A254" s="43" t="s">
        <v>400</v>
      </c>
      <c r="B254" s="43" t="s">
        <v>401</v>
      </c>
      <c r="C254" s="48" t="s">
        <v>402</v>
      </c>
      <c r="D254" s="163"/>
      <c r="E254" s="48" t="s">
        <v>402</v>
      </c>
      <c r="F254" s="163"/>
      <c r="G254" s="48" t="s">
        <v>201</v>
      </c>
      <c r="H254" s="163"/>
      <c r="I254" s="48" t="s">
        <v>402</v>
      </c>
      <c r="J254" s="163"/>
      <c r="K254" s="48" t="s">
        <v>201</v>
      </c>
      <c r="L254" s="163"/>
      <c r="M254" s="86" t="s">
        <v>293</v>
      </c>
      <c r="N254" s="83" t="s">
        <v>380</v>
      </c>
      <c r="O254" s="35" t="s">
        <v>182</v>
      </c>
      <c r="P254" s="84" t="str">
        <f t="shared" ref="P254" si="23">N254</f>
        <v>FALSE</v>
      </c>
      <c r="Q254" s="49"/>
      <c r="R254" s="90"/>
      <c r="S254" s="90"/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661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682</v>
      </c>
      <c r="E261" s="23" t="s">
        <v>178</v>
      </c>
      <c r="F261" s="93" t="s">
        <v>683</v>
      </c>
      <c r="G261" s="23" t="s">
        <v>179</v>
      </c>
      <c r="H261" s="93" t="s">
        <v>684</v>
      </c>
      <c r="I261" s="23" t="s">
        <v>195</v>
      </c>
      <c r="J261" s="93" t="s">
        <v>685</v>
      </c>
      <c r="K261" s="23" t="s">
        <v>197</v>
      </c>
      <c r="L261" s="93" t="s">
        <v>686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1669</v>
      </c>
      <c r="O262" s="35" t="s">
        <v>182</v>
      </c>
      <c r="P262" s="84" t="str">
        <f t="shared" ref="P262:P282" si="24">N262</f>
        <v>TRUE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1669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456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1669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1669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1669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1669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1075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380</v>
      </c>
      <c r="O268" s="35" t="s">
        <v>182</v>
      </c>
      <c r="P268" s="84" t="str">
        <f t="shared" si="24"/>
        <v>FALSE</v>
      </c>
      <c r="Q268" s="49"/>
    </row>
    <row r="269" spans="1:17" s="36" customFormat="1">
      <c r="A269" s="82" t="s">
        <v>457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1669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1669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1669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1044</v>
      </c>
      <c r="B272" s="43" t="s">
        <v>1045</v>
      </c>
      <c r="C272" s="48" t="s">
        <v>1046</v>
      </c>
      <c r="D272" s="163"/>
      <c r="E272" s="48" t="s">
        <v>201</v>
      </c>
      <c r="F272" s="163"/>
      <c r="G272" s="48" t="s">
        <v>201</v>
      </c>
      <c r="H272" s="163"/>
      <c r="I272" s="48" t="s">
        <v>1046</v>
      </c>
      <c r="J272" s="163"/>
      <c r="K272" s="48" t="s">
        <v>201</v>
      </c>
      <c r="L272" s="163"/>
      <c r="M272" s="27" t="s">
        <v>293</v>
      </c>
      <c r="N272" s="83" t="s">
        <v>1669</v>
      </c>
      <c r="O272" s="35" t="s">
        <v>182</v>
      </c>
      <c r="P272" s="84" t="str">
        <f t="shared" si="24"/>
        <v>TRUE</v>
      </c>
      <c r="Q272" s="49"/>
    </row>
    <row r="273" spans="1:17" s="129" customFormat="1">
      <c r="A273" s="82" t="s">
        <v>1768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432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1671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1669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1669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1669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1669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1669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1669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1669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1669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1047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458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" si="31">N285</f>
        <v>FALSE</v>
      </c>
      <c r="Q285" s="49"/>
    </row>
    <row r="286" spans="1:17" s="389" customFormat="1">
      <c r="A286" s="82" t="s">
        <v>458</v>
      </c>
      <c r="B286" s="82" t="s">
        <v>458</v>
      </c>
      <c r="C286" s="48" t="s">
        <v>402</v>
      </c>
      <c r="D286" s="163"/>
      <c r="E286" s="48" t="s">
        <v>201</v>
      </c>
      <c r="F286" s="163"/>
      <c r="G286" s="48" t="s">
        <v>201</v>
      </c>
      <c r="H286" s="163"/>
      <c r="I286" s="48" t="s">
        <v>402</v>
      </c>
      <c r="J286" s="163"/>
      <c r="K286" s="48" t="s">
        <v>201</v>
      </c>
      <c r="L286" s="163"/>
      <c r="M286" s="86" t="s">
        <v>293</v>
      </c>
      <c r="N286" s="83" t="s">
        <v>380</v>
      </c>
      <c r="O286" s="35" t="s">
        <v>182</v>
      </c>
      <c r="P286" s="84" t="str">
        <f t="shared" ref="P286" si="32">N286</f>
        <v>FALSE</v>
      </c>
      <c r="Q286" s="49"/>
    </row>
    <row r="287" spans="1:17" customFormat="1">
      <c r="A287" s="43" t="s">
        <v>403</v>
      </c>
      <c r="B287" s="43" t="s">
        <v>401</v>
      </c>
      <c r="C287" s="48" t="s">
        <v>402</v>
      </c>
      <c r="D287" s="163"/>
      <c r="E287" s="48" t="s">
        <v>201</v>
      </c>
      <c r="F287" s="163"/>
      <c r="G287" s="48" t="s">
        <v>201</v>
      </c>
      <c r="H287" s="163"/>
      <c r="I287" s="48" t="s">
        <v>402</v>
      </c>
      <c r="J287" s="163"/>
      <c r="K287" s="48" t="s">
        <v>201</v>
      </c>
      <c r="L287" s="163"/>
      <c r="M287" s="86" t="s">
        <v>293</v>
      </c>
      <c r="N287" s="83" t="s">
        <v>380</v>
      </c>
      <c r="O287" s="35" t="s">
        <v>182</v>
      </c>
      <c r="P287" s="84" t="str">
        <f t="shared" ref="P287:P288" si="33">N287</f>
        <v>FALSE</v>
      </c>
      <c r="Q287" s="49"/>
    </row>
    <row r="288" spans="1:17" s="389" customFormat="1">
      <c r="A288" s="43" t="s">
        <v>403</v>
      </c>
      <c r="B288" s="43" t="s">
        <v>403</v>
      </c>
      <c r="C288" s="48" t="s">
        <v>402</v>
      </c>
      <c r="D288" s="391"/>
      <c r="E288" s="48" t="s">
        <v>201</v>
      </c>
      <c r="F288" s="391"/>
      <c r="G288" s="48" t="s">
        <v>201</v>
      </c>
      <c r="H288" s="391"/>
      <c r="I288" s="48" t="s">
        <v>402</v>
      </c>
      <c r="J288" s="391"/>
      <c r="K288" s="48" t="s">
        <v>201</v>
      </c>
      <c r="L288" s="391"/>
      <c r="M288" s="86" t="s">
        <v>293</v>
      </c>
      <c r="N288" s="83" t="s">
        <v>380</v>
      </c>
      <c r="O288" s="35" t="s">
        <v>182</v>
      </c>
      <c r="P288" s="84" t="str">
        <f t="shared" si="33"/>
        <v>FALSE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677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4GH1bylHS19tqPnCqdHfYLJrUErpVIs+oQdF+t+rhazN8G8xDtcoNIzbXAWf0e0KS21GszAhiEfwc1r6Mlhd6Q==" saltValue="7Ew8ogShDw0SHX0bR5zM5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8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8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8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9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9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9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6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6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6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8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8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8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10:N211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10:P211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10:J211 F210:F211 D210:D211">
    <cfRule type="containsText" dxfId="189" priority="172" operator="containsText" text="ALTERNATE_FE">
      <formula>NOT(ISERROR(SEARCH("ALTERNATE_FE",D210)))</formula>
    </cfRule>
    <cfRule type="cellIs" dxfId="188" priority="173" operator="equal">
      <formula>"Single Band Path"</formula>
    </cfRule>
  </conditionalFormatting>
  <conditionalFormatting sqref="O210:O211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10:T211">
    <cfRule type="containsText" dxfId="185" priority="169" operator="containsText" text="DL">
      <formula>NOT(ISERROR(SEARCH("DL",R210)))</formula>
    </cfRule>
    <cfRule type="containsText" dxfId="184" priority="170" operator="containsText" text="LTE">
      <formula>NOT(ISERROR(SEARCH("LTE",R210)))</formula>
    </cfRule>
    <cfRule type="containsText" dxfId="183" priority="171" operator="containsText" text="UL">
      <formula>NOT(ISERROR(SEARCH("UL",R210)))</formula>
    </cfRule>
  </conditionalFormatting>
  <conditionalFormatting sqref="T210:T211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9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9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9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9:T249">
    <cfRule type="containsText" dxfId="88" priority="54" operator="containsText" text="DL">
      <formula>NOT(ISERROR(SEARCH("DL",R249)))</formula>
    </cfRule>
    <cfRule type="containsText" dxfId="87" priority="55" operator="containsText" text="LTE">
      <formula>NOT(ISERROR(SEARCH("LTE",R249)))</formula>
    </cfRule>
    <cfRule type="containsText" dxfId="86" priority="56" operator="containsText" text="UL">
      <formula>NOT(ISERROR(SEARCH("UL",R249)))</formula>
    </cfRule>
  </conditionalFormatting>
  <conditionalFormatting sqref="T249">
    <cfRule type="expression" dxfId="85" priority="53">
      <formula>$BC$5="SW_CAPABILITY_NOT_SUPPORT"</formula>
    </cfRule>
  </conditionalFormatting>
  <conditionalFormatting sqref="P273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3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3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3" id="{740E83D2-410D-48E6-B305-E040FE10E2F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54D4F065-4196-4733-9A0E-95877B2CC97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DF0FBCFF-54D3-45BF-A50A-361B3D6D0847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11C4FAA7-D8B2-4B7C-A35A-C1C056A1AE1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DA13C853-9156-4D65-A4F3-19F4E8642244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6BBCE50E-6C7D-42A3-8CEE-24100419F61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CP8Fwduxl7O8l8T2/p9E55dPpGCGQTKGdjl3Y/zjNar4UbQQYFpJ29VyOnppwXff7RhJLUWTwtTtrFntejJY/w==" saltValue="44aiOgdzvShGVs5JBbU9W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1665</v>
      </c>
      <c r="B8" s="168" t="s">
        <v>1666</v>
      </c>
      <c r="C8" s="169" t="s">
        <v>1667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1698</v>
      </c>
      <c r="B11" s="15" t="s">
        <v>1699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1668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1700</v>
      </c>
      <c r="B356" s="397"/>
      <c r="C356" s="397"/>
      <c r="D356" s="397"/>
    </row>
    <row r="357" spans="1:4" ht="90.75" thickBot="1">
      <c r="A357" s="398" t="s">
        <v>1701</v>
      </c>
      <c r="B357" s="398" t="s">
        <v>1702</v>
      </c>
      <c r="C357" s="399" t="s">
        <v>1703</v>
      </c>
      <c r="D357" s="397"/>
    </row>
    <row r="358" spans="1:4">
      <c r="A358" s="400" t="s">
        <v>10</v>
      </c>
      <c r="B358" s="401">
        <v>5</v>
      </c>
      <c r="C358" s="401" t="s">
        <v>1704</v>
      </c>
      <c r="D358" s="402" t="s">
        <v>1705</v>
      </c>
    </row>
    <row r="359" spans="1:4">
      <c r="A359" s="403" t="s">
        <v>15</v>
      </c>
      <c r="B359" s="404">
        <v>0</v>
      </c>
      <c r="C359" s="404">
        <v>0</v>
      </c>
      <c r="D359" s="405" t="s">
        <v>1706</v>
      </c>
    </row>
    <row r="360" spans="1:4">
      <c r="A360" s="403" t="s">
        <v>15</v>
      </c>
      <c r="B360" s="404">
        <v>0</v>
      </c>
      <c r="C360" s="404">
        <v>0</v>
      </c>
      <c r="D360" s="405" t="s">
        <v>1707</v>
      </c>
    </row>
    <row r="361" spans="1:4">
      <c r="A361" s="403" t="s">
        <v>15</v>
      </c>
      <c r="B361" s="404">
        <v>0</v>
      </c>
      <c r="C361" s="404">
        <v>0</v>
      </c>
      <c r="D361" s="405" t="s">
        <v>1708</v>
      </c>
    </row>
    <row r="362" spans="1:4">
      <c r="A362" s="403" t="s">
        <v>15</v>
      </c>
      <c r="B362" s="404">
        <v>0</v>
      </c>
      <c r="C362" s="404">
        <v>0</v>
      </c>
      <c r="D362" s="405" t="s">
        <v>1709</v>
      </c>
    </row>
    <row r="363" spans="1:4">
      <c r="A363" s="403" t="s">
        <v>15</v>
      </c>
      <c r="B363" s="404">
        <v>0</v>
      </c>
      <c r="C363" s="404">
        <v>0</v>
      </c>
      <c r="D363" s="405" t="s">
        <v>1710</v>
      </c>
    </row>
    <row r="364" spans="1:4">
      <c r="A364" s="403" t="s">
        <v>15</v>
      </c>
      <c r="B364" s="404">
        <v>0</v>
      </c>
      <c r="C364" s="404">
        <v>0</v>
      </c>
      <c r="D364" s="405" t="s">
        <v>1711</v>
      </c>
    </row>
    <row r="365" spans="1:4">
      <c r="A365" s="403" t="s">
        <v>15</v>
      </c>
      <c r="B365" s="404">
        <v>0</v>
      </c>
      <c r="C365" s="404">
        <v>0</v>
      </c>
      <c r="D365" s="405" t="s">
        <v>1712</v>
      </c>
    </row>
    <row r="366" spans="1:4">
      <c r="A366" s="403" t="s">
        <v>15</v>
      </c>
      <c r="B366" s="404">
        <v>0</v>
      </c>
      <c r="C366" s="404">
        <v>0</v>
      </c>
      <c r="D366" s="405" t="s">
        <v>1713</v>
      </c>
    </row>
    <row r="367" spans="1:4">
      <c r="A367" s="403" t="s">
        <v>15</v>
      </c>
      <c r="B367" s="404">
        <v>0</v>
      </c>
      <c r="C367" s="404">
        <v>0</v>
      </c>
      <c r="D367" s="405" t="s">
        <v>1714</v>
      </c>
    </row>
    <row r="368" spans="1:4">
      <c r="A368" s="403" t="s">
        <v>15</v>
      </c>
      <c r="B368" s="404">
        <v>0</v>
      </c>
      <c r="C368" s="404">
        <v>0</v>
      </c>
      <c r="D368" s="405" t="s">
        <v>1715</v>
      </c>
    </row>
    <row r="369" spans="1:4">
      <c r="A369" s="403" t="s">
        <v>15</v>
      </c>
      <c r="B369" s="404">
        <v>0</v>
      </c>
      <c r="C369" s="404">
        <v>0</v>
      </c>
      <c r="D369" s="405" t="s">
        <v>1716</v>
      </c>
    </row>
    <row r="370" spans="1:4">
      <c r="A370" s="403" t="s">
        <v>15</v>
      </c>
      <c r="B370" s="404">
        <v>0</v>
      </c>
      <c r="C370" s="404">
        <v>0</v>
      </c>
      <c r="D370" s="405" t="s">
        <v>1717</v>
      </c>
    </row>
    <row r="371" spans="1:4">
      <c r="A371" s="403" t="s">
        <v>15</v>
      </c>
      <c r="B371" s="404">
        <v>0</v>
      </c>
      <c r="C371" s="404">
        <v>0</v>
      </c>
      <c r="D371" s="405" t="s">
        <v>1718</v>
      </c>
    </row>
    <row r="372" spans="1:4">
      <c r="A372" s="403" t="s">
        <v>15</v>
      </c>
      <c r="B372" s="404">
        <v>0</v>
      </c>
      <c r="C372" s="404">
        <v>0</v>
      </c>
      <c r="D372" s="405" t="s">
        <v>1719</v>
      </c>
    </row>
    <row r="373" spans="1:4">
      <c r="A373" s="403" t="s">
        <v>15</v>
      </c>
      <c r="B373" s="404">
        <v>0</v>
      </c>
      <c r="C373" s="404">
        <v>0</v>
      </c>
      <c r="D373" s="405" t="s">
        <v>1720</v>
      </c>
    </row>
    <row r="374" spans="1:4">
      <c r="A374" s="403" t="s">
        <v>15</v>
      </c>
      <c r="B374" s="404">
        <v>0</v>
      </c>
      <c r="C374" s="404">
        <v>0</v>
      </c>
      <c r="D374" s="405" t="s">
        <v>1721</v>
      </c>
    </row>
    <row r="375" spans="1:4">
      <c r="A375" s="403" t="s">
        <v>15</v>
      </c>
      <c r="B375" s="404">
        <v>0</v>
      </c>
      <c r="C375" s="404">
        <v>0</v>
      </c>
      <c r="D375" s="405" t="s">
        <v>1722</v>
      </c>
    </row>
    <row r="376" spans="1:4">
      <c r="A376" s="403" t="s">
        <v>15</v>
      </c>
      <c r="B376" s="404">
        <v>0</v>
      </c>
      <c r="C376" s="404">
        <v>0</v>
      </c>
      <c r="D376" s="405" t="s">
        <v>1723</v>
      </c>
    </row>
    <row r="377" spans="1:4">
      <c r="A377" s="403" t="s">
        <v>15</v>
      </c>
      <c r="B377" s="404">
        <v>0</v>
      </c>
      <c r="C377" s="404">
        <v>0</v>
      </c>
      <c r="D377" s="405" t="s">
        <v>1724</v>
      </c>
    </row>
    <row r="378" spans="1:4">
      <c r="A378" s="403" t="s">
        <v>15</v>
      </c>
      <c r="B378" s="404">
        <v>0</v>
      </c>
      <c r="C378" s="404">
        <v>0</v>
      </c>
      <c r="D378" s="405" t="s">
        <v>1725</v>
      </c>
    </row>
    <row r="379" spans="1:4">
      <c r="A379" s="403" t="s">
        <v>15</v>
      </c>
      <c r="B379" s="404">
        <v>0</v>
      </c>
      <c r="C379" s="404">
        <v>0</v>
      </c>
      <c r="D379" s="405" t="s">
        <v>1726</v>
      </c>
    </row>
    <row r="380" spans="1:4">
      <c r="A380" s="403" t="s">
        <v>15</v>
      </c>
      <c r="B380" s="404">
        <v>0</v>
      </c>
      <c r="C380" s="404">
        <v>0</v>
      </c>
      <c r="D380" s="405" t="s">
        <v>1727</v>
      </c>
    </row>
    <row r="381" spans="1:4">
      <c r="A381" s="403" t="s">
        <v>15</v>
      </c>
      <c r="B381" s="404">
        <v>0</v>
      </c>
      <c r="C381" s="404">
        <v>0</v>
      </c>
      <c r="D381" s="405" t="s">
        <v>1728</v>
      </c>
    </row>
    <row r="382" spans="1:4">
      <c r="A382" s="403" t="s">
        <v>15</v>
      </c>
      <c r="B382" s="404">
        <v>0</v>
      </c>
      <c r="C382" s="404">
        <v>0</v>
      </c>
      <c r="D382" s="405" t="s">
        <v>1729</v>
      </c>
    </row>
    <row r="383" spans="1:4">
      <c r="A383" s="403" t="s">
        <v>15</v>
      </c>
      <c r="B383" s="404">
        <v>0</v>
      </c>
      <c r="C383" s="404">
        <v>0</v>
      </c>
      <c r="D383" s="405" t="s">
        <v>1730</v>
      </c>
    </row>
    <row r="384" spans="1:4">
      <c r="A384" s="403" t="s">
        <v>15</v>
      </c>
      <c r="B384" s="404">
        <v>0</v>
      </c>
      <c r="C384" s="404">
        <v>0</v>
      </c>
      <c r="D384" s="405" t="s">
        <v>1731</v>
      </c>
    </row>
    <row r="385" spans="1:4">
      <c r="A385" s="403" t="s">
        <v>15</v>
      </c>
      <c r="B385" s="404">
        <v>0</v>
      </c>
      <c r="C385" s="404">
        <v>0</v>
      </c>
      <c r="D385" s="405" t="s">
        <v>1732</v>
      </c>
    </row>
    <row r="386" spans="1:4">
      <c r="A386" s="403" t="s">
        <v>15</v>
      </c>
      <c r="B386" s="404">
        <v>0</v>
      </c>
      <c r="C386" s="404">
        <v>0</v>
      </c>
      <c r="D386" s="405" t="s">
        <v>1733</v>
      </c>
    </row>
    <row r="387" spans="1:4">
      <c r="A387" s="403" t="s">
        <v>15</v>
      </c>
      <c r="B387" s="404">
        <v>0</v>
      </c>
      <c r="C387" s="404">
        <v>0</v>
      </c>
      <c r="D387" s="405" t="s">
        <v>1734</v>
      </c>
    </row>
    <row r="388" spans="1:4">
      <c r="A388" s="403" t="s">
        <v>15</v>
      </c>
      <c r="B388" s="404">
        <v>0</v>
      </c>
      <c r="C388" s="404">
        <v>0</v>
      </c>
      <c r="D388" s="405" t="s">
        <v>1735</v>
      </c>
    </row>
    <row r="389" spans="1:4">
      <c r="A389" s="403" t="s">
        <v>15</v>
      </c>
      <c r="B389" s="404">
        <v>0</v>
      </c>
      <c r="C389" s="404">
        <v>0</v>
      </c>
      <c r="D389" s="405" t="s">
        <v>1736</v>
      </c>
    </row>
    <row r="390" spans="1:4">
      <c r="A390" s="403" t="s">
        <v>15</v>
      </c>
      <c r="B390" s="404">
        <v>0</v>
      </c>
      <c r="C390" s="404">
        <v>0</v>
      </c>
      <c r="D390" s="405" t="s">
        <v>1737</v>
      </c>
    </row>
    <row r="391" spans="1:4">
      <c r="A391" s="403" t="s">
        <v>15</v>
      </c>
      <c r="B391" s="404">
        <v>0</v>
      </c>
      <c r="C391" s="404">
        <v>0</v>
      </c>
      <c r="D391" s="405" t="s">
        <v>1738</v>
      </c>
    </row>
    <row r="392" spans="1:4">
      <c r="A392" s="403" t="s">
        <v>15</v>
      </c>
      <c r="B392" s="404">
        <v>0</v>
      </c>
      <c r="C392" s="404">
        <v>0</v>
      </c>
      <c r="D392" s="405" t="s">
        <v>1739</v>
      </c>
    </row>
    <row r="393" spans="1:4">
      <c r="A393" s="403" t="s">
        <v>15</v>
      </c>
      <c r="B393" s="404">
        <v>0</v>
      </c>
      <c r="C393" s="404">
        <v>0</v>
      </c>
      <c r="D393" s="405" t="s">
        <v>1740</v>
      </c>
    </row>
    <row r="394" spans="1:4">
      <c r="A394" s="403" t="s">
        <v>15</v>
      </c>
      <c r="B394" s="404">
        <v>0</v>
      </c>
      <c r="C394" s="404">
        <v>0</v>
      </c>
      <c r="D394" s="405" t="s">
        <v>1741</v>
      </c>
    </row>
    <row r="395" spans="1:4">
      <c r="A395" s="403" t="s">
        <v>15</v>
      </c>
      <c r="B395" s="404">
        <v>0</v>
      </c>
      <c r="C395" s="404">
        <v>0</v>
      </c>
      <c r="D395" s="405" t="s">
        <v>1742</v>
      </c>
    </row>
    <row r="396" spans="1:4">
      <c r="A396" s="403" t="s">
        <v>15</v>
      </c>
      <c r="B396" s="404">
        <v>0</v>
      </c>
      <c r="C396" s="404">
        <v>0</v>
      </c>
      <c r="D396" s="405" t="s">
        <v>1743</v>
      </c>
    </row>
    <row r="397" spans="1:4">
      <c r="A397" s="403" t="s">
        <v>15</v>
      </c>
      <c r="B397" s="404">
        <v>0</v>
      </c>
      <c r="C397" s="404">
        <v>0</v>
      </c>
      <c r="D397" s="405" t="s">
        <v>1744</v>
      </c>
    </row>
    <row r="398" spans="1:4">
      <c r="A398" s="403" t="s">
        <v>15</v>
      </c>
      <c r="B398" s="404">
        <v>0</v>
      </c>
      <c r="C398" s="404">
        <v>0</v>
      </c>
      <c r="D398" s="405" t="s">
        <v>1745</v>
      </c>
    </row>
    <row r="399" spans="1:4">
      <c r="A399" s="403" t="s">
        <v>15</v>
      </c>
      <c r="B399" s="404">
        <v>0</v>
      </c>
      <c r="C399" s="404">
        <v>0</v>
      </c>
      <c r="D399" s="405" t="s">
        <v>1746</v>
      </c>
    </row>
    <row r="400" spans="1:4">
      <c r="A400" s="403" t="s">
        <v>15</v>
      </c>
      <c r="B400" s="404">
        <v>0</v>
      </c>
      <c r="C400" s="404">
        <v>0</v>
      </c>
      <c r="D400" s="405" t="s">
        <v>1747</v>
      </c>
    </row>
    <row r="401" spans="1:4">
      <c r="A401" s="403" t="s">
        <v>15</v>
      </c>
      <c r="B401" s="404">
        <v>0</v>
      </c>
      <c r="C401" s="404">
        <v>0</v>
      </c>
      <c r="D401" s="405" t="s">
        <v>1748</v>
      </c>
    </row>
    <row r="402" spans="1:4">
      <c r="A402" s="403" t="s">
        <v>15</v>
      </c>
      <c r="B402" s="404">
        <v>0</v>
      </c>
      <c r="C402" s="404">
        <v>0</v>
      </c>
      <c r="D402" s="405" t="s">
        <v>1749</v>
      </c>
    </row>
    <row r="403" spans="1:4">
      <c r="A403" s="403" t="s">
        <v>15</v>
      </c>
      <c r="B403" s="404">
        <v>0</v>
      </c>
      <c r="C403" s="404">
        <v>0</v>
      </c>
      <c r="D403" s="405" t="s">
        <v>1750</v>
      </c>
    </row>
    <row r="404" spans="1:4">
      <c r="A404" s="403" t="s">
        <v>15</v>
      </c>
      <c r="B404" s="404">
        <v>0</v>
      </c>
      <c r="C404" s="404">
        <v>0</v>
      </c>
      <c r="D404" s="405" t="s">
        <v>1751</v>
      </c>
    </row>
    <row r="405" spans="1:4">
      <c r="A405" s="403" t="s">
        <v>15</v>
      </c>
      <c r="B405" s="404">
        <v>0</v>
      </c>
      <c r="C405" s="404">
        <v>0</v>
      </c>
      <c r="D405" s="405" t="s">
        <v>1752</v>
      </c>
    </row>
    <row r="406" spans="1:4">
      <c r="A406" s="403" t="s">
        <v>15</v>
      </c>
      <c r="B406" s="404">
        <v>0</v>
      </c>
      <c r="C406" s="404">
        <v>0</v>
      </c>
      <c r="D406" s="405" t="s">
        <v>1753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1754</v>
      </c>
    </row>
  </sheetData>
  <sheetProtection algorithmName="SHA-512" hashValue="OpMJgf5uZuyjOXj+FYjAQ4yv7esEtG11Acxy5S58BPpQ1/drJoP/i/721SFIaXhGK0bBJBE/uLpxc9eFZSTTxg==" saltValue="UKfC7VnEuLyztohkZ3iazQ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PPA4tMTgDTAwcRn/TvtHNCLpNNLCt0fyOKJxqft7fH8jU9J6L4c1Vaj3YxuvLo1nqoIUHuGo1FxQzcX0q8oIPw==" saltValue="7++02p6qSs374QvxDKKjTg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aoCHVXrpJ+gEXPsRWqiRTCXhb7slotWj1kiyfJrzS2XA+yzDHs/4endgb+fZLSGB+3GdlJ90T5iwglDyWKDgyA==" saltValue="4vcU3aQlyNS3INAfvAfEN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WRLlM7UHo6bIy9CfHbXPtqu1+ono102ERLxVTkJFoQNZ7+FZ6NYZfelxRNGCgl9+49kJByi1GHhRO11viuC+Qw==" saltValue="j9BjM/nNwoM9jLt8L10qW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6/14J3K1OaKK0qXIXN7WvWG7beBRmZnvrsMB1mKYXlUbT+oXdDiEztkmj01ePYa/mNgwAJ5Bpa3OdGyBPshddA==" saltValue="hxWCRH9WBr94Z3FjGBuwTg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LXRoFOuBdp2ifHlDPi+n9zHPipbKFwckbmRPfqRbH0Ke3P928ng936ZLUk56anGItnAN4peksNfk58kwiUtaIA==" saltValue="WiIXmM4PQC6r5n5hI7KzE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4" sqref="B304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1755</v>
      </c>
      <c r="B3" s="389" t="s">
        <v>1759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1684</v>
      </c>
    </row>
    <row r="61" spans="1:2">
      <c r="A61" s="389" t="s">
        <v>865</v>
      </c>
      <c r="B61" s="389" t="s">
        <v>1684</v>
      </c>
    </row>
    <row r="62" spans="1:2">
      <c r="A62" s="389" t="s">
        <v>1686</v>
      </c>
      <c r="B62" s="389" t="s">
        <v>1684</v>
      </c>
    </row>
    <row r="63" spans="1:2">
      <c r="A63" s="389" t="s">
        <v>1687</v>
      </c>
      <c r="B63" s="389" t="s">
        <v>1684</v>
      </c>
    </row>
    <row r="64" spans="1:2">
      <c r="A64" s="389" t="s">
        <v>1688</v>
      </c>
      <c r="B64" s="389" t="s">
        <v>1684</v>
      </c>
    </row>
    <row r="65" spans="1:3">
      <c r="A65" s="389" t="s">
        <v>890</v>
      </c>
      <c r="B65" s="389" t="s">
        <v>1684</v>
      </c>
    </row>
    <row r="66" spans="1:3">
      <c r="A66" s="389" t="s">
        <v>1524</v>
      </c>
      <c r="B66" s="389" t="s">
        <v>1684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1689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1690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1689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1690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1779</v>
      </c>
    </row>
    <row r="322" spans="1:4">
      <c r="A322" s="94"/>
      <c r="B322" s="164"/>
      <c r="C322" s="94"/>
      <c r="D322" s="11"/>
    </row>
  </sheetData>
  <sheetProtection algorithmName="SHA-512" hashValue="pmGPELpU6WU/heUw22TLKm+5931hitwBwJp9rvpgDWOCik/gYEm51/T6aE+doht8KyCeL+2iCKLILC8et59I1A==" saltValue="oUxLchz96zd6xqURYqgiDg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1755</v>
      </c>
      <c r="C4" s="409">
        <v>43136</v>
      </c>
      <c r="D4" s="410" t="s">
        <v>1756</v>
      </c>
      <c r="E4" s="410" t="s">
        <v>1757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1695</v>
      </c>
      <c r="C5" s="393">
        <v>43088</v>
      </c>
      <c r="D5" s="160" t="s">
        <v>1682</v>
      </c>
      <c r="E5" s="160" t="s">
        <v>1696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1694</v>
      </c>
      <c r="C6" s="395">
        <v>43077</v>
      </c>
      <c r="D6" s="159" t="s">
        <v>1660</v>
      </c>
      <c r="E6" s="394" t="s">
        <v>1693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1685</v>
      </c>
      <c r="C7" s="393">
        <v>43068</v>
      </c>
      <c r="D7" s="394" t="s">
        <v>1691</v>
      </c>
      <c r="E7" s="394" t="s">
        <v>1692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1680</v>
      </c>
      <c r="C8" s="392" t="s">
        <v>1681</v>
      </c>
      <c r="D8" s="160" t="s">
        <v>1682</v>
      </c>
      <c r="E8" s="160" t="s">
        <v>1683</v>
      </c>
    </row>
    <row r="9" spans="1:23">
      <c r="B9" s="449" t="s">
        <v>1652</v>
      </c>
      <c r="C9" s="452" t="s">
        <v>1662</v>
      </c>
      <c r="D9" s="159" t="s">
        <v>1653</v>
      </c>
      <c r="E9" s="159" t="s">
        <v>1664</v>
      </c>
    </row>
    <row r="10" spans="1:23">
      <c r="B10" s="450"/>
      <c r="C10" s="453"/>
      <c r="D10" s="159" t="s">
        <v>1659</v>
      </c>
      <c r="E10" s="159" t="s">
        <v>1661</v>
      </c>
    </row>
    <row r="11" spans="1:23">
      <c r="B11" s="450"/>
      <c r="C11" s="453"/>
      <c r="D11" s="159" t="s">
        <v>1660</v>
      </c>
      <c r="E11" s="159" t="s">
        <v>1661</v>
      </c>
    </row>
    <row r="12" spans="1:23">
      <c r="B12" s="450"/>
      <c r="C12" s="453"/>
      <c r="D12" s="159" t="s">
        <v>1654</v>
      </c>
      <c r="E12" s="159" t="s">
        <v>1658</v>
      </c>
    </row>
    <row r="13" spans="1:23">
      <c r="B13" s="450"/>
      <c r="C13" s="453"/>
      <c r="D13" s="159" t="s">
        <v>1655</v>
      </c>
      <c r="E13" s="159" t="s">
        <v>1658</v>
      </c>
    </row>
    <row r="14" spans="1:23">
      <c r="B14" s="450"/>
      <c r="C14" s="453"/>
      <c r="D14" s="159" t="s">
        <v>1656</v>
      </c>
      <c r="E14" s="159" t="s">
        <v>1658</v>
      </c>
    </row>
    <row r="15" spans="1:23">
      <c r="B15" s="451"/>
      <c r="C15" s="454"/>
      <c r="D15" s="159" t="s">
        <v>1657</v>
      </c>
      <c r="E15" s="159" t="s">
        <v>1658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UqETenu7S2JmlRLs1TE7MNBpv/AWBEZrv/T6XzQa4BLu0aB8+4AGLc5QMcWsX9rakkYbLYmISoKeE40yx9Cy3A==" saltValue="VqMShJHTIBskBM4U0vez9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2018-12-03T08:48:13Z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